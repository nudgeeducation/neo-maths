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Foundations Opportunity Bank" sheetId="2" r:id="rId6"/>
    <sheet state="visible" name="Intermediate Opportunity Bank" sheetId="3" r:id="rId7"/>
    <sheet state="visible" name="Reconnection Bank" sheetId="4" r:id="rId8"/>
    <sheet state="visible" name="Annual Capacity Audit" sheetId="5" r:id="rId9"/>
    <sheet state="visible" name="Resource Reuse" sheetId="6" r:id="rId10"/>
    <sheet state="visible" name="Sources &amp; Notes" sheetId="7" r:id="rId11"/>
  </sheets>
  <definedNames/>
  <calcPr/>
</workbook>
</file>

<file path=xl/sharedStrings.xml><?xml version="1.0" encoding="utf-8"?>
<sst xmlns="http://schemas.openxmlformats.org/spreadsheetml/2006/main" count="9270" uniqueCount="2144">
  <si>
    <t>NEO Mathematics Intermediate Opportunity Bank</t>
  </si>
  <si>
    <t>NEO Mathematics Pathway Lesson Architecture Map v0.2</t>
  </si>
  <si>
    <t>Reconnection Bank — Pathway Routes</t>
  </si>
  <si>
    <t>114 annual guided lesson opportunities per pathway; larger mapped banks remain available for adaptive routing and production planning.</t>
  </si>
  <si>
    <t>Earlier high-leverage learning is offered at point of need, with a visible return to the active route.</t>
  </si>
  <si>
    <t>152 mapped opportunities retained as a bank; annual capacity is 114. v0.3: every opportunity carries a Priority — Essential (normally met, counted against the 114 annual envelope), Flexible (run when evidence says needed) or Reserve (triggered Reconnection Routes and optional Extension). Internal Y9/Y7/Y8 codes remain valid metadata.</t>
  </si>
  <si>
    <t>Reconnection ID</t>
  </si>
  <si>
    <t>Source Level</t>
  </si>
  <si>
    <t>Mathematical Strand</t>
  </si>
  <si>
    <t>Lesson Title</t>
  </si>
  <si>
    <t>Driving Question</t>
  </si>
  <si>
    <t>Stepping Stone Focus</t>
  </si>
  <si>
    <t>Interactive Inquiry Tool</t>
  </si>
  <si>
    <t>Scratchpad Preset</t>
  </si>
  <si>
    <t>Role in Year 9/10 Routing</t>
  </si>
  <si>
    <t>Pathway</t>
  </si>
  <si>
    <t>REC-NUM-01</t>
  </si>
  <si>
    <t>Annual Guided Opportunities</t>
  </si>
  <si>
    <t>Pathway Use</t>
  </si>
  <si>
    <t>Opportunity Bank</t>
  </si>
  <si>
    <t>Number Sense</t>
  </si>
  <si>
    <t>Allocation Rule</t>
  </si>
  <si>
    <t>Place value and magnitude</t>
  </si>
  <si>
    <t>Can I tell which number is really larger?</t>
  </si>
  <si>
    <t>place value with integers and decimals</t>
  </si>
  <si>
    <t>Locked planning principle</t>
  </si>
  <si>
    <t>Foundations use</t>
  </si>
  <si>
    <t>Place-Value Magnifier</t>
  </si>
  <si>
    <t>Intermediate use</t>
  </si>
  <si>
    <t>Square grid</t>
  </si>
  <si>
    <t>Production consequence</t>
  </si>
  <si>
    <t>Year 9 route, Year 10 route</t>
  </si>
  <si>
    <t>Status</t>
  </si>
  <si>
    <t>Lesson ID</t>
  </si>
  <si>
    <t>Internal Stage</t>
  </si>
  <si>
    <t>Route Session</t>
  </si>
  <si>
    <t>Unit ID</t>
  </si>
  <si>
    <t>Unit Sequence</t>
  </si>
  <si>
    <t>Foundations</t>
  </si>
  <si>
    <t>Unit Title</t>
  </si>
  <si>
    <t>Lesson Sequence in Unit</t>
  </si>
  <si>
    <t>Lesson Type</t>
  </si>
  <si>
    <t>Lesson Driving Question</t>
  </si>
  <si>
    <t>Topic counts decided live</t>
  </si>
  <si>
    <t>REC-NUM-02</t>
  </si>
  <si>
    <t>Main Mathematical Move</t>
  </si>
  <si>
    <t>3 × 45 minutes × 38 weeks</t>
  </si>
  <si>
    <t>Prerequisite Check</t>
  </si>
  <si>
    <t>Reconnection Route</t>
  </si>
  <si>
    <t>Directed numbers</t>
  </si>
  <si>
    <t>Core route plus targeted Reconnection</t>
  </si>
  <si>
    <t>What does moving below zero actually mean?</t>
  </si>
  <si>
    <t>Primary Cornerstone</t>
  </si>
  <si>
    <t>order and calculate with negative numbers</t>
  </si>
  <si>
    <t>Common IGCSE prerequisite bridge</t>
  </si>
  <si>
    <t>Directed Number Line</t>
  </si>
  <si>
    <t>Secondary Cornerstones</t>
  </si>
  <si>
    <t>Select from the bank; do not force all rows into one year</t>
  </si>
  <si>
    <t>Available on demand</t>
  </si>
  <si>
    <t>Interactive Resource</t>
  </si>
  <si>
    <t>GreenPrint v1.1</t>
  </si>
  <si>
    <t>Resource / Tool Family</t>
  </si>
  <si>
    <t>Year 7</t>
  </si>
  <si>
    <t>Practice Companion Focus</t>
  </si>
  <si>
    <t>Evidence Opportunity</t>
  </si>
  <si>
    <t>Mastery Check</t>
  </si>
  <si>
    <t>Suggested Session Shape</t>
  </si>
  <si>
    <t>Qualification Overlay</t>
  </si>
  <si>
    <t>Intermediate</t>
  </si>
  <si>
    <t>Sensory / Cognitive Load</t>
  </si>
  <si>
    <t>Delivery Modes</t>
  </si>
  <si>
    <t>REC-NUM-03</t>
  </si>
  <si>
    <t>Build Status</t>
  </si>
  <si>
    <t>Design Note</t>
  </si>
  <si>
    <t>Opportunity bank is not a timetable</t>
  </si>
  <si>
    <t>Foundations evidence informs entry</t>
  </si>
  <si>
    <t>Four operations and inverse checks</t>
  </si>
  <si>
    <t>IGCSE spine plus prerequisite repair</t>
  </si>
  <si>
    <t>How can an inverse catch a convincing mistake?</t>
  </si>
  <si>
    <t>Protect breathing space and re-engagement</t>
  </si>
  <si>
    <t>use operations and inverse checks</t>
  </si>
  <si>
    <t>Estimate–Calculate–Check Lab</t>
  </si>
  <si>
    <t>Blank</t>
  </si>
  <si>
    <t>Advanced</t>
  </si>
  <si>
    <t>REC-NUM-04</t>
  </si>
  <si>
    <t>To be mapped later</t>
  </si>
  <si>
    <t>Structure &amp; Generalisation</t>
  </si>
  <si>
    <t>No fixed topic allocation before design</t>
  </si>
  <si>
    <t>Factors, multiples and primes</t>
  </si>
  <si>
    <t>How can number structure make a calculation easier?</t>
  </si>
  <si>
    <t>Earlier pathways remain available as reconnection</t>
  </si>
  <si>
    <t>identify factors, multiples, primes, HCF and LCM</t>
  </si>
  <si>
    <t>Qualification overlay remains an overlay</t>
  </si>
  <si>
    <t>Factor Web</t>
  </si>
  <si>
    <t>Create only when Advanced architecture is commissioned</t>
  </si>
  <si>
    <t>Year 9 route</t>
  </si>
  <si>
    <t>Not yet mapped</t>
  </si>
  <si>
    <t>Current Status</t>
  </si>
  <si>
    <t>Priority (114 Envelope)</t>
  </si>
  <si>
    <t>REC-NUM-05</t>
  </si>
  <si>
    <t>NEO-MATH-Y10-001</t>
  </si>
  <si>
    <t>Proportional Reasoning</t>
  </si>
  <si>
    <t>Fraction meaning and equivalence</t>
  </si>
  <si>
    <t>When do two fractions describe the same amount?</t>
  </si>
  <si>
    <t>recognise and simplify equivalent fractions</t>
  </si>
  <si>
    <t>Fraction Bar Explorer</t>
  </si>
  <si>
    <t>Double number line</t>
  </si>
  <si>
    <t>NEO-MATH-Y10-01</t>
  </si>
  <si>
    <t>Number Systems and Calculator Judgement</t>
  </si>
  <si>
    <t>REC-NUM-06</t>
  </si>
  <si>
    <t>Fraction operations</t>
  </si>
  <si>
    <t>What must be connected before fractions can be combined?</t>
  </si>
  <si>
    <t>Interactive resource is not always one lesson</t>
  </si>
  <si>
    <t>add, subtract, multiply and divide fractions at readiness</t>
  </si>
  <si>
    <t>One tool may support several inquiry prompts</t>
  </si>
  <si>
    <t>Fraction Operation Builder</t>
  </si>
  <si>
    <t>Reusable engines support qualification translation</t>
  </si>
  <si>
    <t>Develop component families</t>
  </si>
  <si>
    <t>REC-NUM-07</t>
  </si>
  <si>
    <t>Decimals and percentages</t>
  </si>
  <si>
    <t>How can one amount speak three mathematical languages?</t>
  </si>
  <si>
    <t>connect fractions, decimals and percentages</t>
  </si>
  <si>
    <t>FDP Converter</t>
  </si>
  <si>
    <t>Core</t>
  </si>
  <si>
    <t>Connect &amp; notice: Calculate with integers, fractions and decimals</t>
  </si>
  <si>
    <t>What do I already notice about calculate with integers, fractions and decimals?</t>
  </si>
  <si>
    <t>calculate with integers, fractions and decimals</t>
  </si>
  <si>
    <t>Reconnection is not catch-up</t>
  </si>
  <si>
    <t>learner entry knowledge and representation confidence</t>
  </si>
  <si>
    <t>Link earlier learning at point of need</t>
  </si>
  <si>
    <t>Reflection</t>
  </si>
  <si>
    <t>REC-NUM-08</t>
  </si>
  <si>
    <t>Repair prerequisite then return</t>
  </si>
  <si>
    <t>Rest, Connection</t>
  </si>
  <si>
    <t>Make the return route visible</t>
  </si>
  <si>
    <t>Calculator Input Detective</t>
  </si>
  <si>
    <t>Number Explorer</t>
  </si>
  <si>
    <t>Percentage change</t>
  </si>
  <si>
    <t>Why does 10% off and 10% on not cancel?</t>
  </si>
  <si>
    <t>calculate percentage increase and decrease</t>
  </si>
  <si>
    <t>Number Systems and Calculator Judgement – calculate with integers, fractions and decimals</t>
  </si>
  <si>
    <t>Percentage Change Journey</t>
  </si>
  <si>
    <t>Scratchpad prediction or notice about calculate with integers, fractions and decimals</t>
  </si>
  <si>
    <t>Learner can calculate with integers, fractions and decimals and give a reason or check.</t>
  </si>
  <si>
    <t>Year 8</t>
  </si>
  <si>
    <t>Connect 8 / Explore 20 / Notice 10 / Reflect 7</t>
  </si>
  <si>
    <t>Workbook Sheet</t>
  </si>
  <si>
    <t>Pearson Edexcel 4MA1 1.1-1.3, 1.8, 1.11</t>
  </si>
  <si>
    <t>Purpose</t>
  </si>
  <si>
    <t>Moderate</t>
  </si>
  <si>
    <t>Key question</t>
  </si>
  <si>
    <t>Live, Asynchronous, Independent</t>
  </si>
  <si>
    <t>Planning use</t>
  </si>
  <si>
    <t>Mastery evidence is broader than completed pages</t>
  </si>
  <si>
    <t>REC-ALG-01</t>
  </si>
  <si>
    <t>Scratchpad, explanation, model or corrected error</t>
  </si>
  <si>
    <t>Letters and expressions</t>
  </si>
  <si>
    <t>What can a letter stand for without being a mystery?</t>
  </si>
  <si>
    <t>Canonical mastery plus overlay evidence</t>
  </si>
  <si>
    <t>interpret variables and write expressions</t>
  </si>
  <si>
    <t>Record evidence opportunity and mastery check</t>
  </si>
  <si>
    <t>Expression Builder</t>
  </si>
  <si>
    <t>Architecture mapped</t>
  </si>
  <si>
    <t>Part of the canonical Y10 route. May pause or branch to a Reconnection lesson before returning.</t>
  </si>
  <si>
    <t>Foundations Opportunity Bank</t>
  </si>
  <si>
    <t>152 mapped opportunities</t>
  </si>
  <si>
    <t>Which opportunities best serve this learner and topic now?</t>
  </si>
  <si>
    <t>Sequence, route and author lessons</t>
  </si>
  <si>
    <t>Y10 / IGCSE Year 1</t>
  </si>
  <si>
    <t>REC-ALG-02</t>
  </si>
  <si>
    <t>Collecting like terms</t>
  </si>
  <si>
    <t>Which algebraic terms really belong together?</t>
  </si>
  <si>
    <t>simplify by collecting like terms</t>
  </si>
  <si>
    <t>Expression Equivalence Lab</t>
  </si>
  <si>
    <t>Mapped opportunity bank</t>
  </si>
  <si>
    <t>Intermediate Opportunity Bank</t>
  </si>
  <si>
    <t>REC-ALG-03</t>
  </si>
  <si>
    <t>How does the IGCSE spine remain coherent while repairing prerequisites?</t>
  </si>
  <si>
    <t>Substitution</t>
  </si>
  <si>
    <t>How can a rule produce a number?</t>
  </si>
  <si>
    <t>Sequence and qualification planning</t>
  </si>
  <si>
    <t>substitute values into expressions and formulae</t>
  </si>
  <si>
    <t>Essential</t>
  </si>
  <si>
    <t>Substitution Machine</t>
  </si>
  <si>
    <t>NEO-MATH-Y10-002</t>
  </si>
  <si>
    <t>REC-ALG-04</t>
  </si>
  <si>
    <t>Expanding brackets</t>
  </si>
  <si>
    <t>What changes when a bracket opens?</t>
  </si>
  <si>
    <t>expand single brackets</t>
  </si>
  <si>
    <t>Bracket Area Model</t>
  </si>
  <si>
    <t>Reconnection Bank</t>
  </si>
  <si>
    <t>Earlier high-leverage lessons</t>
  </si>
  <si>
    <t>Which route reconnects the learner fastest?</t>
  </si>
  <si>
    <t>Build once for reuse</t>
  </si>
  <si>
    <t>Build the idea: Use BIDMAS</t>
  </si>
  <si>
    <t>What does use BIDMAS mean before I use a procedure?</t>
  </si>
  <si>
    <t>use BIDMAS</t>
  </si>
  <si>
    <t>REC-ALG-05</t>
  </si>
  <si>
    <t>Factorising common factors</t>
  </si>
  <si>
    <t>Annual Capacity Audit</t>
  </si>
  <si>
    <t>Number Systems and Calculator Judgement – use BIDMAS</t>
  </si>
  <si>
    <t>Can I rebuild the bracket from an expression?</t>
  </si>
  <si>
    <t>Formula-driven capacity</t>
  </si>
  <si>
    <t>Annotated representation of use BIDMAS</t>
  </si>
  <si>
    <t>factorise by taking out a common factor</t>
  </si>
  <si>
    <t>Does the live plan fit 3 × 45 × 38?</t>
  </si>
  <si>
    <t>Learner can use BIDMAS and give a reason or check.</t>
  </si>
  <si>
    <t>Factor Lens</t>
  </si>
  <si>
    <t>Capacity and timetable audit</t>
  </si>
  <si>
    <t>Connect 5 / Explore 20 / Create or Apply 12 / Reflect 8</t>
  </si>
  <si>
    <t>Resource Reuse</t>
  </si>
  <si>
    <t>Tool-family audit</t>
  </si>
  <si>
    <t>REC-ALG-06</t>
  </si>
  <si>
    <t>NEO-MATH-Y10-003</t>
  </si>
  <si>
    <t>How many opportunities can share reusable engines?</t>
  </si>
  <si>
    <t>Interactive production planning</t>
  </si>
  <si>
    <t>One- and two-step equations</t>
  </si>
  <si>
    <t>What can I change without breaking equality?</t>
  </si>
  <si>
    <t>solve linear equations using inverse operations</t>
  </si>
  <si>
    <t>Balance Equation Simulator</t>
  </si>
  <si>
    <t>Represent it: Round accurately</t>
  </si>
  <si>
    <t>How can I show round accurately in more than one way?</t>
  </si>
  <si>
    <t>round accurately</t>
  </si>
  <si>
    <t>REC-ALG-07</t>
  </si>
  <si>
    <t>Number Systems and Calculator Judgement – round accurately</t>
  </si>
  <si>
    <t>Change &amp; Functions</t>
  </si>
  <si>
    <t>Coordinates</t>
  </si>
  <si>
    <t>Annotated representation of round accurately</t>
  </si>
  <si>
    <t>How does a pair of numbers locate one point?</t>
  </si>
  <si>
    <t>Learner can round accurately and give a reason or check.</t>
  </si>
  <si>
    <t>plot and read coordinates in four quadrants</t>
  </si>
  <si>
    <t>Coordinate Move Studio</t>
  </si>
  <si>
    <t>Coordinate grid</t>
  </si>
  <si>
    <t>v0.3 — 18 July 2026: Prioritised bank. Banks re-based to the locked 3 × 45 × 38 = 114 envelope (previous bank volume of 152/pathway reflected a superseded 4-lesson week). Every opportunity now carries Essential / Flexible / Reserve priority; capacity audit shows breathing room instead of overshoot; NEO-MATH-Y9-005A (Calculate with standard form) inserted; per-unit audit formulas repointed at the opportunity-bank tabs.</t>
  </si>
  <si>
    <t>REC-ALG-08</t>
  </si>
  <si>
    <t>Linear table to graph</t>
  </si>
  <si>
    <t>Can a table predict a line?</t>
  </si>
  <si>
    <t>generate coordinates from a linear rule</t>
  </si>
  <si>
    <t>NEO-MATH-Y10-004</t>
  </si>
  <si>
    <t>Table-to-Line Builder</t>
  </si>
  <si>
    <t>Reconnection</t>
  </si>
  <si>
    <t>Reconnection: Four operations and inverse checks</t>
  </si>
  <si>
    <t>REC-PR-01</t>
  </si>
  <si>
    <t>Ratio notation</t>
  </si>
  <si>
    <t>What relationship is the colon recording?</t>
  </si>
  <si>
    <t>use ratio notation and distinguish part-part/part-whole</t>
  </si>
  <si>
    <t>Branch triggered when use operations and inverse checks is not yet secure enough for the current unit.</t>
  </si>
  <si>
    <t>Ratio Sorter</t>
  </si>
  <si>
    <t>Ratio table</t>
  </si>
  <si>
    <t>Connection</t>
  </si>
  <si>
    <t>REC-PR-02</t>
  </si>
  <si>
    <t>Equivalent ratios</t>
  </si>
  <si>
    <t>Reflection, Rest</t>
  </si>
  <si>
    <t>How can a ratio change without changing its relationship?</t>
  </si>
  <si>
    <t>recognise and simplify equivalent ratios</t>
  </si>
  <si>
    <t>Recipe Scaler</t>
  </si>
  <si>
    <t>NEO Mathematics Foundations Opportunity Bank</t>
  </si>
  <si>
    <t>Four operations and inverse checks targeted practice</t>
  </si>
  <si>
    <t>Short reconnection evidence: use operations and inverse checks</t>
  </si>
  <si>
    <t>Learner can use operations and inverse checks sufficiently to return to Number Systems and Calculator Judgement.</t>
  </si>
  <si>
    <t>Arrive 5 / Reconnect 20 / Test 10 / Return link 10</t>
  </si>
  <si>
    <t>Low-Moderate; targeted prerequisite repair</t>
  </si>
  <si>
    <t>REC-PR-03</t>
  </si>
  <si>
    <t>Scale factors</t>
  </si>
  <si>
    <t>Not 'catch-up'. A targeted route from Year 7 learning that reconnects the learner to NEO-MATH-Y10-01.</t>
  </si>
  <si>
    <t>What multiplier connects the old size to the new size?</t>
  </si>
  <si>
    <t>identify and use scale factors</t>
  </si>
  <si>
    <t>Scale Factor Slider</t>
  </si>
  <si>
    <t>REC-PR-04</t>
  </si>
  <si>
    <t>Unitary method</t>
  </si>
  <si>
    <t>What does one unit reveal?</t>
  </si>
  <si>
    <t>find one unit then scale</t>
  </si>
  <si>
    <t>Reserve</t>
  </si>
  <si>
    <t>Unit Rate Builder</t>
  </si>
  <si>
    <t>NEO-MATH-Y10-005</t>
  </si>
  <si>
    <t>REC-GEO-01</t>
  </si>
  <si>
    <t>Spatial Reasoning</t>
  </si>
  <si>
    <t>Angle facts</t>
  </si>
  <si>
    <t>Which angle facts can unlock the diagram?</t>
  </si>
  <si>
    <t>use angle facts around points, lines and triangles</t>
  </si>
  <si>
    <t>Angle Constraint Explorer</t>
  </si>
  <si>
    <t>REC-GEO-02</t>
  </si>
  <si>
    <t>Try one change: Estimate</t>
  </si>
  <si>
    <t>What changes when I adjust one part of estimate?</t>
  </si>
  <si>
    <t>Perimeter and area</t>
  </si>
  <si>
    <t>estimate</t>
  </si>
  <si>
    <t>How are boundary and space different?</t>
  </si>
  <si>
    <t>distinguish and calculate perimeter and area</t>
  </si>
  <si>
    <t>Fixed-Perimeter Shape Designer</t>
  </si>
  <si>
    <t>Number Systems and Calculator Judgement – estimate</t>
  </si>
  <si>
    <t>Annotated representation of estimate</t>
  </si>
  <si>
    <t>REC-GEO-03</t>
  </si>
  <si>
    <t>Parallel lines</t>
  </si>
  <si>
    <t>How can one angle reveal another?</t>
  </si>
  <si>
    <t>use alternate, corresponding and co-interior angle facts</t>
  </si>
  <si>
    <t>Learner can estimate and give a reason or check.</t>
  </si>
  <si>
    <t>Angle Chain Explorer</t>
  </si>
  <si>
    <t>NEO-MATH-Y10-006</t>
  </si>
  <si>
    <t>Connect ideas: Use a scientific calculator</t>
  </si>
  <si>
    <t>How does use a scientific calculator connect to the earlier relationship?</t>
  </si>
  <si>
    <t>use a scientific calculator</t>
  </si>
  <si>
    <t>Number Systems and Calculator Judgement – use a scientific calculator</t>
  </si>
  <si>
    <t>Annotated representation of use a scientific calculator</t>
  </si>
  <si>
    <t>Learner can use a scientific calculator and give a reason or check.</t>
  </si>
  <si>
    <t>NEO-MATH-Y10-007</t>
  </si>
  <si>
    <t>Repair a misconception: Judge reasonableness</t>
  </si>
  <si>
    <t>What tempting mistake can judge reasonableness create?</t>
  </si>
  <si>
    <t>judge reasonableness</t>
  </si>
  <si>
    <t>Number Systems and Calculator Judgement – judge reasonableness</t>
  </si>
  <si>
    <t>Corrected misconception note: judge reasonableness</t>
  </si>
  <si>
    <t>Learner can judge reasonableness and give a reason or check.</t>
  </si>
  <si>
    <t>NEO-MATH-Y9-001</t>
  </si>
  <si>
    <t>NEO-MATH-Y9-01</t>
  </si>
  <si>
    <t>REC-GEO-04</t>
  </si>
  <si>
    <t>Accuracy, Powers and Scale</t>
  </si>
  <si>
    <t>Flexible</t>
  </si>
  <si>
    <t>Circles and formulae</t>
  </si>
  <si>
    <t>What does pi connect in every circle?</t>
  </si>
  <si>
    <t>use circumference and area formulae</t>
  </si>
  <si>
    <t>Circle Measure Explorer</t>
  </si>
  <si>
    <t>NEO-MATH-Y10-008</t>
  </si>
  <si>
    <t>Connect &amp; notice: Round to significant figures</t>
  </si>
  <si>
    <t>What do I already notice about round to significant figures?</t>
  </si>
  <si>
    <t>round to significant figures</t>
  </si>
  <si>
    <t>Movement</t>
  </si>
  <si>
    <t>Reflection, Connection</t>
  </si>
  <si>
    <t>Micro-to-Macro Scale Explorer</t>
  </si>
  <si>
    <t>Apply in context: Calculate with integers, fractions and decimals</t>
  </si>
  <si>
    <t>REC-GEO-05</t>
  </si>
  <si>
    <t>Where might calculate with integers, fractions and decimals help with a real decision?</t>
  </si>
  <si>
    <t>Accuracy, Powers and Scale – round to significant figures</t>
  </si>
  <si>
    <t>Scratchpad prediction or notice about round to significant figures</t>
  </si>
  <si>
    <t>Learner can round to significant figures and give a reason or check.</t>
  </si>
  <si>
    <t>NC KS3; Pearson Edexcel 4MA1 1.4, 1.8, 1.9</t>
  </si>
  <si>
    <t>Volume and units</t>
  </si>
  <si>
    <t>How does a 2D measure become a 3D measure?</t>
  </si>
  <si>
    <t>calculate prism volume and convert units</t>
  </si>
  <si>
    <t>Short contextual application of calculate with integers, fractions and decimals</t>
  </si>
  <si>
    <t>Prism Builder</t>
  </si>
  <si>
    <t>NEO-MATH-Y10-009</t>
  </si>
  <si>
    <t>Model and test: Use BIDMAS</t>
  </si>
  <si>
    <t>Part of the canonical Y9 route. May pause or branch to a Reconnection lesson before returning.</t>
  </si>
  <si>
    <t>Can I build a model using use BIDMAS and test it?</t>
  </si>
  <si>
    <t>REC-DAT-01</t>
  </si>
  <si>
    <t>Data &amp; Uncertainty</t>
  </si>
  <si>
    <t>Averages and range</t>
  </si>
  <si>
    <t>When is an average a fair summary?</t>
  </si>
  <si>
    <t>calculate and interpret mean, median, mode and range</t>
  </si>
  <si>
    <t>Average as Fair-Share Simulator</t>
  </si>
  <si>
    <t>Tested model using use BIDMAS</t>
  </si>
  <si>
    <t>Y9 Bridge with Y7/Y8 Reconnection</t>
  </si>
  <si>
    <t>REC-DAT-02</t>
  </si>
  <si>
    <t>NEO-MATH-Y10-010</t>
  </si>
  <si>
    <t>Comparing distributions</t>
  </si>
  <si>
    <t>NEO-MATH-Y9-002</t>
  </si>
  <si>
    <t>Can one average speak for a whole group?</t>
  </si>
  <si>
    <t>compare centre and spread</t>
  </si>
  <si>
    <t>Data Claim Comparator</t>
  </si>
  <si>
    <t>Compare strategies: Round accurately</t>
  </si>
  <si>
    <t>Which route through round accurately is clearest or most efficient?</t>
  </si>
  <si>
    <t>Build the idea: Estimate</t>
  </si>
  <si>
    <t>What does estimate mean before I use a procedure?</t>
  </si>
  <si>
    <t>Two-route comparison for round accurately</t>
  </si>
  <si>
    <t>REC-DAT-03</t>
  </si>
  <si>
    <t>Probability scale</t>
  </si>
  <si>
    <t>How likely is likely?</t>
  </si>
  <si>
    <t>place and interpret probabilities from 0 to 1</t>
  </si>
  <si>
    <t>Probability Scale Slider</t>
  </si>
  <si>
    <t>Accuracy, Powers and Scale – estimate</t>
  </si>
  <si>
    <t>NEO-MATH-Y10-011</t>
  </si>
  <si>
    <t>Qualification Practice</t>
  </si>
  <si>
    <t>Assessment translation 1: Calculate with integers, fractions and decimals</t>
  </si>
  <si>
    <t>How might a qualification question hide the need to calculate with integers, fractions and decimals?</t>
  </si>
  <si>
    <t>translate assessed wording into the canonical move: calculate with integers, fractions and decimals</t>
  </si>
  <si>
    <t>NEO-MATH-Y9-003</t>
  </si>
  <si>
    <t>relevant core concept plus question-reading routine</t>
  </si>
  <si>
    <t>REC-SRL-01 if wording blocks mathematical access</t>
  </si>
  <si>
    <t>Connection, Rest</t>
  </si>
  <si>
    <t>Question Translation Studio</t>
  </si>
  <si>
    <t>Navigation Tool</t>
  </si>
  <si>
    <t>4MA1-style mixed questions: calculate with integers, fractions and decimals</t>
  </si>
  <si>
    <t>REC-DAT-04</t>
  </si>
  <si>
    <t>Reconnection: Place value and magnitude</t>
  </si>
  <si>
    <t>Annotated assessed-world question showing givens, goal, route and check for calculate with integers, fractions and decimals</t>
  </si>
  <si>
    <t>Learner identifies the mathematics, selects a route and checks a solution involving calculate with integers, fractions and decimals.</t>
  </si>
  <si>
    <t>Sample spaces</t>
  </si>
  <si>
    <t>Branch triggered when place value with integers and decimals is not yet secure enough for the current unit.</t>
  </si>
  <si>
    <t>Can listing outcomes make chance visible?</t>
  </si>
  <si>
    <t>enumerate outcomes and calculate probabilities</t>
  </si>
  <si>
    <t>Decode 10 / Solve 20 / Compare 10 / Reflect 5</t>
  </si>
  <si>
    <t>Sample-Space Builder</t>
  </si>
  <si>
    <t>Moderate-High; wording chunked before calculation</t>
  </si>
  <si>
    <t>Place value and magnitude targeted practice</t>
  </si>
  <si>
    <t>Short reconnection evidence: place value with integers and decimals</t>
  </si>
  <si>
    <t>Learner can place value with integers and decimals sufficiently to return to Accuracy, Powers and Scale.</t>
  </si>
  <si>
    <t>Qualification overlay lesson. Exam wording is translated into mathematics already present in the canonical spine.</t>
  </si>
  <si>
    <t>Not 'catch-up'. A targeted route from Year 7 learning that reconnects the learner to NEO-MATH-Y9-01.</t>
  </si>
  <si>
    <t>NEO-MATH-Y10-012</t>
  </si>
  <si>
    <t>REC-SRL-01</t>
  </si>
  <si>
    <t>Self-Regulated Mathematical Learning</t>
  </si>
  <si>
    <t>Reading the question</t>
  </si>
  <si>
    <t>What is this problem actually asking me to do?</t>
  </si>
  <si>
    <t>identify givens, goal and useful information</t>
  </si>
  <si>
    <t>Question Highlighter</t>
  </si>
  <si>
    <t>Year 10 route</t>
  </si>
  <si>
    <t>Practice with choice: Estimate</t>
  </si>
  <si>
    <t>NEO-MATH-Y9-004</t>
  </si>
  <si>
    <t>Can I use estimate without being told the method?</t>
  </si>
  <si>
    <t>Represent it: Use index laws</t>
  </si>
  <si>
    <t>REC-SRL-02</t>
  </si>
  <si>
    <t>How can I show use index laws in more than one way?</t>
  </si>
  <si>
    <t>use index laws</t>
  </si>
  <si>
    <t>Start–Change–Check</t>
  </si>
  <si>
    <t>Can I reduce a graph problem to two ideas?</t>
  </si>
  <si>
    <t>identify start and rate of change</t>
  </si>
  <si>
    <t>Practice Companion evidence for estimate</t>
  </si>
  <si>
    <t>Start–Change–Check Card</t>
  </si>
  <si>
    <t>Reconnect 5 / Practice 25 / Check 10 / Reflect 5</t>
  </si>
  <si>
    <t>Accuracy, Powers and Scale – use index laws</t>
  </si>
  <si>
    <t>Annotated representation of use index laws</t>
  </si>
  <si>
    <t>Learner can use index laws and give a reason or check.</t>
  </si>
  <si>
    <t>NEO-MATH-Y10-013</t>
  </si>
  <si>
    <t>NEO-MATH-Y9-005</t>
  </si>
  <si>
    <t>REC-SRL-03</t>
  </si>
  <si>
    <t>Estimate before calculate</t>
  </si>
  <si>
    <t>Qualification translation: Use a scientific calculator</t>
  </si>
  <si>
    <t>How might an assessed question disguise use a scientific calculator?</t>
  </si>
  <si>
    <t>What answer size would make sense?</t>
  </si>
  <si>
    <t>Try one change: Write and order standard form</t>
  </si>
  <si>
    <t>use estimation to judge reasonableness</t>
  </si>
  <si>
    <t>What changes when I adjust one part of write and order standard form?</t>
  </si>
  <si>
    <t>Estimate First Prompt</t>
  </si>
  <si>
    <t>write and order standard form</t>
  </si>
  <si>
    <t>Accuracy, Powers and Scale – write and order standard form</t>
  </si>
  <si>
    <t>Annotated representation of write and order standard form</t>
  </si>
  <si>
    <t>Learner can write and order standard form and give a reason or check.</t>
  </si>
  <si>
    <t>Annotated question translation for use a scientific calculator</t>
  </si>
  <si>
    <t>Translate 10 / Solve 20 / Compare 10 / Reflect 5</t>
  </si>
  <si>
    <t>NEO-MATH-Y10-014</t>
  </si>
  <si>
    <t>NEO-MATH-Y9-005A</t>
  </si>
  <si>
    <t>Mastery checkpoint: Judge reasonableness</t>
  </si>
  <si>
    <t>What can I now explain, apply and check about judge reasonableness?</t>
  </si>
  <si>
    <t>Apply the laws: Calculate with standard form</t>
  </si>
  <si>
    <t>Can I calculate with giant and tiny numbers without writing out their zeros?</t>
  </si>
  <si>
    <t>calculate with standard form</t>
  </si>
  <si>
    <t>write and order standard form; use index laws</t>
  </si>
  <si>
    <t>Accuracy, Powers and Scale – calculate with standard form</t>
  </si>
  <si>
    <t>Annotated representation of calculate with standard form</t>
  </si>
  <si>
    <t>Learner can calculate with standard form and give a reason or check.</t>
  </si>
  <si>
    <t>Part of the canonical Y9 route. May pause or branch to a Reconnection lesson before returning. Inserted 18 July 2026 (Director decision): calculating with standard form precedes interpret scale and magnitude, which moves to unit session 6.</t>
  </si>
  <si>
    <t>Calculator Error Audit</t>
  </si>
  <si>
    <t>NEO-MATH-Y9-006</t>
  </si>
  <si>
    <t>Settle 5 / Choose evidence 25 / Mastery check 10 / Reflect 5</t>
  </si>
  <si>
    <t>Connect ideas: Interpret scale and magnitude</t>
  </si>
  <si>
    <t>How does interpret scale and magnitude connect to the earlier relationship?</t>
  </si>
  <si>
    <t>interpret scale and magnitude</t>
  </si>
  <si>
    <t>NEO-MATH-Y10-015</t>
  </si>
  <si>
    <t>Accuracy, Powers and Scale – interpret scale and magnitude</t>
  </si>
  <si>
    <t>Annotated representation of interpret scale and magnitude</t>
  </si>
  <si>
    <t>Learner can interpret scale and magnitude and give a reason or check.</t>
  </si>
  <si>
    <t>Portfolio / Pathway Review</t>
  </si>
  <si>
    <t>Evidence and next step: Number Systems and Calculator Judgement</t>
  </si>
  <si>
    <t>What evidence shows what I can now do—and what would be a useful next mathematical move?</t>
  </si>
  <si>
    <t>select, annotate and reflect on unit evidence</t>
  </si>
  <si>
    <t>unit-level synthesis, communication and self-regulation</t>
  </si>
  <si>
    <t>any meaningful participation or evidence from the unit</t>
  </si>
  <si>
    <t>learner-specific</t>
  </si>
  <si>
    <t>Portfolio Evidence Selector</t>
  </si>
  <si>
    <t>NEO-MATH-Y9-007</t>
  </si>
  <si>
    <t>learner-selected gap or stretch</t>
  </si>
  <si>
    <t>Learner can point to evidence for current mastery and agree a next step.</t>
  </si>
  <si>
    <t>Settle 5 / Select 10 / Annotate 15 / Strengthen 10 / Next step 5</t>
  </si>
  <si>
    <t>Low-Moderate; learner choice</t>
  </si>
  <si>
    <t>Portfolio and pathway review. Completion volume is not used as a proxy for mastery.</t>
  </si>
  <si>
    <t>NEO-MATH-Y10-016</t>
  </si>
  <si>
    <t>Learner can use operations and inverse checks sufficiently to return to Accuracy, Powers and Scale.</t>
  </si>
  <si>
    <t>NEO-MATH-Y10-02</t>
  </si>
  <si>
    <t>Algebraic Expressions and Identities</t>
  </si>
  <si>
    <t>Connect &amp; notice: Use algebraic symbols</t>
  </si>
  <si>
    <t>What do I already notice about use algebraic symbols?</t>
  </si>
  <si>
    <t>NEO-MATH-Y9-008</t>
  </si>
  <si>
    <t>use algebraic symbols</t>
  </si>
  <si>
    <t>Reflection, Creativity</t>
  </si>
  <si>
    <t>Algebra Structure Lens</t>
  </si>
  <si>
    <t>Structure Lab</t>
  </si>
  <si>
    <t>Repair a misconception: Round to significant figures</t>
  </si>
  <si>
    <t>What tempting mistake can round to significant figures create?</t>
  </si>
  <si>
    <t>Algebraic Expressions and Identities – use algebraic symbols</t>
  </si>
  <si>
    <t>Scratchpad prediction or notice about use algebraic symbols</t>
  </si>
  <si>
    <t>Learner can use algebraic symbols and give a reason or check.</t>
  </si>
  <si>
    <t>Pearson Edexcel 4MA1 2.1-2.3</t>
  </si>
  <si>
    <t>High; tiered reveal</t>
  </si>
  <si>
    <t>Corrected misconception note: round to significant figures</t>
  </si>
  <si>
    <t>NEO-MATH-Y10-017</t>
  </si>
  <si>
    <t>Build the idea: Substitute</t>
  </si>
  <si>
    <t>NEO-MATH-Y9-009</t>
  </si>
  <si>
    <t>What does substitute mean before I use a procedure?</t>
  </si>
  <si>
    <t>substitute</t>
  </si>
  <si>
    <t>Apply in context: Estimate</t>
  </si>
  <si>
    <t>Where might estimate help with a real decision?</t>
  </si>
  <si>
    <t>Algebraic Expressions and Identities – substitute</t>
  </si>
  <si>
    <t>Annotated representation of substitute</t>
  </si>
  <si>
    <t>Learner can substitute and give a reason or check.</t>
  </si>
  <si>
    <t>Short contextual application of estimate</t>
  </si>
  <si>
    <t>NEO-MATH-Y10-018</t>
  </si>
  <si>
    <t>NEO-MATH-Y9-010</t>
  </si>
  <si>
    <t>Represent it: Collect like terms</t>
  </si>
  <si>
    <t>How can I show collect like terms in more than one way?</t>
  </si>
  <si>
    <t>collect like terms</t>
  </si>
  <si>
    <t>Model and test: Use index laws</t>
  </si>
  <si>
    <t>Can I build a model using use index laws and test it?</t>
  </si>
  <si>
    <t>Algebraic Expressions and Identities – collect like terms</t>
  </si>
  <si>
    <t>Annotated representation of collect like terms</t>
  </si>
  <si>
    <t>Learner can collect like terms and give a reason or check.</t>
  </si>
  <si>
    <t>Tested model using use index laws</t>
  </si>
  <si>
    <t>NEO-MATH-Y10-019</t>
  </si>
  <si>
    <t>NEO-MATH-Y9-011</t>
  </si>
  <si>
    <t>Reconnection: Collecting like terms</t>
  </si>
  <si>
    <t>Reconnection: Factors, multiples and primes</t>
  </si>
  <si>
    <t>Branch triggered when simplify by collecting like terms is not yet secure enough for the current unit.</t>
  </si>
  <si>
    <t>Branch triggered when identify factors, multiples, primes, HCF and LCM is not yet secure enough for the current unit.</t>
  </si>
  <si>
    <t>Collecting like terms targeted practice</t>
  </si>
  <si>
    <t>Short reconnection evidence: simplify by collecting like terms</t>
  </si>
  <si>
    <t>Learner can simplify by collecting like terms sufficiently to return to Algebraic Expressions and Identities.</t>
  </si>
  <si>
    <t>Factors, multiples and primes targeted practice</t>
  </si>
  <si>
    <t>Short reconnection evidence: identify factors, multiples, primes, HCF and LCM</t>
  </si>
  <si>
    <t>Learner can identify factors, multiples, primes, HCF and LCM sufficiently to return to Accuracy, Powers and Scale.</t>
  </si>
  <si>
    <t>Not 'catch-up'. A targeted route from Year 8 learning that reconnects the learner to NEO-MATH-Y10-02.</t>
  </si>
  <si>
    <t>NEO-MATH-Y10-020</t>
  </si>
  <si>
    <t>NEO-MATH-Y9-012</t>
  </si>
  <si>
    <t>Try one change: Expand brackets</t>
  </si>
  <si>
    <t>Compare strategies: Write and order standard form</t>
  </si>
  <si>
    <t>What changes when I adjust one part of expand brackets?</t>
  </si>
  <si>
    <t>Which route through write and order standard form is clearest or most efficient?</t>
  </si>
  <si>
    <t>expand brackets</t>
  </si>
  <si>
    <t>Two-route comparison for write and order standard form</t>
  </si>
  <si>
    <t>Algebraic Expressions and Identities – expand brackets</t>
  </si>
  <si>
    <t>Annotated representation of expand brackets</t>
  </si>
  <si>
    <t>Learner can expand brackets and give a reason or check.</t>
  </si>
  <si>
    <t>NEO-MATH-Y9-013</t>
  </si>
  <si>
    <t>NEO-MATH-Y10-021</t>
  </si>
  <si>
    <t>Connect ideas: Factorise</t>
  </si>
  <si>
    <t>How does factorise connect to the earlier relationship?</t>
  </si>
  <si>
    <t>factorise</t>
  </si>
  <si>
    <t>Algebraic Expressions and Identities – factorise</t>
  </si>
  <si>
    <t>Annotated representation of factorise</t>
  </si>
  <si>
    <t>Practice with choice: Interpret scale and magnitude</t>
  </si>
  <si>
    <t>Learner can factorise and give a reason or check.</t>
  </si>
  <si>
    <t>Can I use interpret scale and magnitude without being told the method?</t>
  </si>
  <si>
    <t>NEO-MATH-Y10-022</t>
  </si>
  <si>
    <t>Repair a misconception: Manipulate algebraic fractions at tier</t>
  </si>
  <si>
    <t>What tempting mistake can manipulate algebraic fractions at tier create?</t>
  </si>
  <si>
    <t>manipulate algebraic fractions at tier</t>
  </si>
  <si>
    <t>Practice Companion evidence for interpret scale and magnitude</t>
  </si>
  <si>
    <t>Algebraic Expressions and Identities – manipulate algebraic fractions at tier</t>
  </si>
  <si>
    <t>Corrected misconception note: manipulate algebraic fractions at tier</t>
  </si>
  <si>
    <t>Learner can manipulate algebraic fractions at tier and give a reason or check.</t>
  </si>
  <si>
    <t>NEO-MATH-Y9-014</t>
  </si>
  <si>
    <t>Mastery checkpoint: Round to significant figures</t>
  </si>
  <si>
    <t>What can I now explain, apply and check about round to significant figures?</t>
  </si>
  <si>
    <t>NEO-MATH-Y10-023</t>
  </si>
  <si>
    <t>Scale of the World Investigation</t>
  </si>
  <si>
    <t>Apply in context: Distinguish expression, equation and identity</t>
  </si>
  <si>
    <t>NEO-MATH-Y9-015</t>
  </si>
  <si>
    <t>Consolidation / Mastery</t>
  </si>
  <si>
    <t>Pause, connect and strengthen: Accuracy, Powers and Scale</t>
  </si>
  <si>
    <t>Which connection in this unit is now stronger—and which one needs another route?</t>
  </si>
  <si>
    <t>review, connect and select evidence across the unit</t>
  </si>
  <si>
    <t>unit-level synthesis and self-regulated mathematical learning</t>
  </si>
  <si>
    <t>completion of selected core sessions or equivalent evidence</t>
  </si>
  <si>
    <t>Where might distinguish expression, equation and identity help with a real decision?</t>
  </si>
  <si>
    <t>learner-specific; choose from linked Reconnection Bank</t>
  </si>
  <si>
    <t>distinguish expression, equation and identity</t>
  </si>
  <si>
    <t>Mastery Pathway Review</t>
  </si>
  <si>
    <t>learner-selected questions from the unit</t>
  </si>
  <si>
    <t>Mastery reflection plus one selected piece of unit evidence</t>
  </si>
  <si>
    <t>Algebraic Expressions and Identities – distinguish expression, equation and identity</t>
  </si>
  <si>
    <t>Learner identifies current Emerging / Developing / Secure / Mastering evidence and a useful next step.</t>
  </si>
  <si>
    <t>Settle 5 / Review 10 / Strengthen 15 / Evidence 10 / Next step 5</t>
  </si>
  <si>
    <t>Short contextual application of distinguish expression, equation and identity</t>
  </si>
  <si>
    <t>Learner can distinguish expression, equation and identity and give a reason or check.</t>
  </si>
  <si>
    <t>Low-Moderate; learner choice and reduced visual field</t>
  </si>
  <si>
    <t>Designed breathing space. May become a return session after absence, a Practice Companion session, or a portfolio checkpoint.</t>
  </si>
  <si>
    <t>NEO-MATH-Y10-024</t>
  </si>
  <si>
    <t>NEO-MATH-Y9-016</t>
  </si>
  <si>
    <t>Model and test: Use algebraic symbols</t>
  </si>
  <si>
    <t>Extension / Portfolio</t>
  </si>
  <si>
    <t>Can I build a model using use algebraic symbols and test it?</t>
  </si>
  <si>
    <t>Open inquiry: Scale of the World Investigation</t>
  </si>
  <si>
    <t>How far can I take interpret scale and magnitude when I choose the model or context?</t>
  </si>
  <si>
    <t>generalise and apply interpret scale and magnitude in a learner-selected or unfamiliar context</t>
  </si>
  <si>
    <t>Secure evidence in at least one central unit relationship</t>
  </si>
  <si>
    <t>Creativity</t>
  </si>
  <si>
    <t>Movement, Reflection</t>
  </si>
  <si>
    <t>Tested model using use algebraic symbols</t>
  </si>
  <si>
    <t>optional stretch / unfamiliar-context questions</t>
  </si>
  <si>
    <t>Learner generalises interpret scale and magnitude, tests assumptions and communicates a defensible conclusion.</t>
  </si>
  <si>
    <t>Choose 5 / Conjecture 10 / Build or test 20 / Reflect 10</t>
  </si>
  <si>
    <t>High-ceiling optional route. Can replace repeated practice where Secure evidence is already present.</t>
  </si>
  <si>
    <t>NEO-MATH-Y9-017</t>
  </si>
  <si>
    <t>NEO-MATH-Y10-025</t>
  </si>
  <si>
    <t>NEO-MATH-Y9-02</t>
  </si>
  <si>
    <t>Solids, Cross-Sections and Space</t>
  </si>
  <si>
    <t>Connect &amp; notice: Analyse 2D and 3D properties</t>
  </si>
  <si>
    <t>What do I already notice about analyse 2D and 3D properties?</t>
  </si>
  <si>
    <t>analyse 2D and 3D properties</t>
  </si>
  <si>
    <t>Compare strategies: Substitute</t>
  </si>
  <si>
    <t>Creativity, Reflection</t>
  </si>
  <si>
    <t>3D Slice and Net Explorer</t>
  </si>
  <si>
    <t>Which route through substitute is clearest or most efficient?</t>
  </si>
  <si>
    <t>Geometry Studio</t>
  </si>
  <si>
    <t>Solids, Cross-Sections and Space – analyse 2D and 3D properties</t>
  </si>
  <si>
    <t>Scratchpad prediction or notice about analyse 2D and 3D properties</t>
  </si>
  <si>
    <t>Learner can analyse 2D and 3D properties and give a reason or check.</t>
  </si>
  <si>
    <t>NC KS3; 4MA1 4.2, 4.10; FS L2</t>
  </si>
  <si>
    <t>Moderate-High spatial</t>
  </si>
  <si>
    <t>Two-route comparison for substitute</t>
  </si>
  <si>
    <t>NEO-MATH-Y9-018</t>
  </si>
  <si>
    <t>Build the idea: Calculate surface area</t>
  </si>
  <si>
    <t>What does calculate surface area mean before I use a procedure?</t>
  </si>
  <si>
    <t>calculate surface area</t>
  </si>
  <si>
    <t>Solids, Cross-Sections and Space – calculate surface area</t>
  </si>
  <si>
    <t>Annotated representation of calculate surface area</t>
  </si>
  <si>
    <t>Learner can calculate surface area and give a reason or check.</t>
  </si>
  <si>
    <t>NEO-MATH-Y10-026</t>
  </si>
  <si>
    <t>NEO-MATH-Y9-019</t>
  </si>
  <si>
    <t>Reconnection: Perimeter and area</t>
  </si>
  <si>
    <t>Assessment translation 1: Use algebraic symbols</t>
  </si>
  <si>
    <t>Branch triggered when distinguish and calculate perimeter and area is not yet secure enough for the current unit.</t>
  </si>
  <si>
    <t>How might a qualification question hide the need to use algebraic symbols?</t>
  </si>
  <si>
    <t>translate assessed wording into the canonical move: use algebraic symbols</t>
  </si>
  <si>
    <t>Perimeter and area targeted practice</t>
  </si>
  <si>
    <t>Short reconnection evidence: distinguish and calculate perimeter and area</t>
  </si>
  <si>
    <t>Learner can distinguish and calculate perimeter and area sufficiently to return to Solids, Cross-Sections and Space.</t>
  </si>
  <si>
    <t>Not 'catch-up'. A targeted route from Year 7 learning that reconnects the learner to NEO-MATH-Y9-02.</t>
  </si>
  <si>
    <t>NEO-MATH-Y9-020</t>
  </si>
  <si>
    <t>4MA1-style mixed questions: use algebraic symbols</t>
  </si>
  <si>
    <t>Annotated assessed-world question showing givens, goal, route and check for use algebraic symbols</t>
  </si>
  <si>
    <t>Represent it: Calculate volume</t>
  </si>
  <si>
    <t>How can I show calculate volume in more than one way?</t>
  </si>
  <si>
    <t>Learner identifies the mathematics, selects a route and checks a solution involving use algebraic symbols.</t>
  </si>
  <si>
    <t>calculate volume</t>
  </si>
  <si>
    <t>Solids, Cross-Sections and Space – calculate volume</t>
  </si>
  <si>
    <t>Annotated representation of calculate volume</t>
  </si>
  <si>
    <t>Learner can calculate volume and give a reason or check.</t>
  </si>
  <si>
    <t>NEO-MATH-Y9-021</t>
  </si>
  <si>
    <t>NEO-MATH-Y10-027</t>
  </si>
  <si>
    <t>Try one change: Interpret cross-sections</t>
  </si>
  <si>
    <t>What changes when I adjust one part of interpret cross-sections?</t>
  </si>
  <si>
    <t>interpret cross-sections</t>
  </si>
  <si>
    <t>Solids, Cross-Sections and Space – interpret cross-sections</t>
  </si>
  <si>
    <t>Annotated representation of interpret cross-sections</t>
  </si>
  <si>
    <t>Practice with choice: Collect like terms</t>
  </si>
  <si>
    <t>Learner can interpret cross-sections and give a reason or check.</t>
  </si>
  <si>
    <t>Can I use collect like terms without being told the method?</t>
  </si>
  <si>
    <t>NEO-MATH-Y9-022</t>
  </si>
  <si>
    <t>Practice Companion evidence for collect like terms</t>
  </si>
  <si>
    <t>Connect ideas: Connect nets, solids and measures</t>
  </si>
  <si>
    <t>How does connect nets, solids and measures connect to the earlier relationship?</t>
  </si>
  <si>
    <t>connect nets, solids and measures</t>
  </si>
  <si>
    <t>Solids, Cross-Sections and Space – connect nets, solids and measures</t>
  </si>
  <si>
    <t>Annotated representation of connect nets, solids and measures</t>
  </si>
  <si>
    <t>Learner can connect nets, solids and measures and give a reason or check.</t>
  </si>
  <si>
    <t>NEO-MATH-Y10-028</t>
  </si>
  <si>
    <t>NEO-MATH-Y9-023</t>
  </si>
  <si>
    <t>Qualification translation: Expand brackets</t>
  </si>
  <si>
    <t>How might an assessed question disguise expand brackets?</t>
  </si>
  <si>
    <t>Reconnection: Volume and units</t>
  </si>
  <si>
    <t>Branch triggered when calculate prism volume and convert units is not yet secure enough for the current unit.</t>
  </si>
  <si>
    <t>Annotated question translation for expand brackets</t>
  </si>
  <si>
    <t>Volume and units targeted practice</t>
  </si>
  <si>
    <t>Short reconnection evidence: calculate prism volume and convert units</t>
  </si>
  <si>
    <t>Learner can calculate prism volume and convert units sufficiently to return to Solids, Cross-Sections and Space.</t>
  </si>
  <si>
    <t>NEO-MATH-Y10-029</t>
  </si>
  <si>
    <t>Not 'catch-up'. A targeted route from Year 8 learning that reconnects the learner to NEO-MATH-Y9-02.</t>
  </si>
  <si>
    <t>NEO-MATH-Y9-024</t>
  </si>
  <si>
    <t>Mastery checkpoint: Factorise</t>
  </si>
  <si>
    <t>What can I now explain, apply and check about factorise?</t>
  </si>
  <si>
    <t>Repair a misconception: Analyse 2D and 3D properties</t>
  </si>
  <si>
    <t>What tempting mistake can analyse 2D and 3D properties create?</t>
  </si>
  <si>
    <t>Expression Structure Commentary</t>
  </si>
  <si>
    <t>Corrected misconception note: analyse 2D and 3D properties</t>
  </si>
  <si>
    <t>NEO-MATH-Y10-030</t>
  </si>
  <si>
    <t>NEO-MATH-Y9-025</t>
  </si>
  <si>
    <t>Evidence and next step: Algebraic Expressions and Identities</t>
  </si>
  <si>
    <t>Apply in context: Calculate surface area</t>
  </si>
  <si>
    <t>Where might calculate surface area help with a real decision?</t>
  </si>
  <si>
    <t>Short contextual application of calculate surface area</t>
  </si>
  <si>
    <t>NEO-MATH-Y9-026</t>
  </si>
  <si>
    <t>NEO-MATH-Y10-031</t>
  </si>
  <si>
    <t>NEO-MATH-Y10-03</t>
  </si>
  <si>
    <t>Model and test: Calculate volume</t>
  </si>
  <si>
    <t>Straight Lines, Sets and Connected Representations</t>
  </si>
  <si>
    <t>Can I build a model using calculate volume and test it?</t>
  </si>
  <si>
    <t>Connect &amp; notice: Use set notation and Venn diagrams</t>
  </si>
  <si>
    <t>What do I already notice about use set notation and Venn diagrams?</t>
  </si>
  <si>
    <t>use set notation and Venn diagrams</t>
  </si>
  <si>
    <t>Tested model using calculate volume</t>
  </si>
  <si>
    <t>Gradient Explorer + Venn Set Builder</t>
  </si>
  <si>
    <t>Dynamic Graph Lab</t>
  </si>
  <si>
    <t>Straight Lines, Sets and Connected Representations – use set notation and Venn diagrams</t>
  </si>
  <si>
    <t>Scratchpad prediction or notice about use set notation and Venn diagrams</t>
  </si>
  <si>
    <t>Learner can use set notation and Venn diagrams and give a reason or check.</t>
  </si>
  <si>
    <t>Pearson Edexcel 4MA1 1.5, 3.3</t>
  </si>
  <si>
    <t>Moderate-High</t>
  </si>
  <si>
    <t>NEO-MATH-Y10-032</t>
  </si>
  <si>
    <t>NEO-MATH-Y9-027</t>
  </si>
  <si>
    <t>Compare strategies: Interpret cross-sections</t>
  </si>
  <si>
    <t>Which route through interpret cross-sections is clearest or most efficient?</t>
  </si>
  <si>
    <t>Build the idea: Generate graph points</t>
  </si>
  <si>
    <t>What does generate graph points mean before I use a procedure?</t>
  </si>
  <si>
    <t>generate graph points</t>
  </si>
  <si>
    <t>Two-route comparison for interpret cross-sections</t>
  </si>
  <si>
    <t>Straight Lines, Sets and Connected Representations – generate graph points</t>
  </si>
  <si>
    <t>Annotated representation of generate graph points</t>
  </si>
  <si>
    <t>Learner can generate graph points and give a reason or check.</t>
  </si>
  <si>
    <t>NEO-MATH-Y9-028</t>
  </si>
  <si>
    <t>NEO-MATH-Y10-033</t>
  </si>
  <si>
    <t>Practice with choice: Connect nets, solids and measures</t>
  </si>
  <si>
    <t>Can I use connect nets, solids and measures without being told the method?</t>
  </si>
  <si>
    <t>Represent it: Find gradient and intercept</t>
  </si>
  <si>
    <t>How can I show find gradient and intercept in more than one way?</t>
  </si>
  <si>
    <t>find gradient and intercept</t>
  </si>
  <si>
    <t>Practice Companion evidence for connect nets, solids and measures</t>
  </si>
  <si>
    <t>Straight Lines, Sets and Connected Representations – find gradient and intercept</t>
  </si>
  <si>
    <t>Annotated representation of find gradient and intercept</t>
  </si>
  <si>
    <t>Learner can find gradient and intercept and give a reason or check.</t>
  </si>
  <si>
    <t>NEO-MATH-Y9-029</t>
  </si>
  <si>
    <t>Mastery checkpoint: Analyse 2D and 3D properties</t>
  </si>
  <si>
    <t>What can I now explain, apply and check about analyse 2D and 3D properties?</t>
  </si>
  <si>
    <t>NEO-MATH-Y10-034</t>
  </si>
  <si>
    <t>Shape Passport / Packaging Redesign</t>
  </si>
  <si>
    <t>Reconnection: Linear table to graph</t>
  </si>
  <si>
    <t>Branch triggered when generate coordinates from a linear rule is not yet secure enough for the current unit.</t>
  </si>
  <si>
    <t>NEO-MATH-Y9-030</t>
  </si>
  <si>
    <t>Linear table to graph targeted practice</t>
  </si>
  <si>
    <t>Short reconnection evidence: generate coordinates from a linear rule</t>
  </si>
  <si>
    <t>Learner can generate coordinates from a linear rule sufficiently to return to Straight Lines, Sets and Connected Representations.</t>
  </si>
  <si>
    <t>Pause, connect and strengthen: Solids, Cross-Sections and Space</t>
  </si>
  <si>
    <t>Not 'catch-up'. A targeted route from Year 8 learning that reconnects the learner to NEO-MATH-Y10-03.</t>
  </si>
  <si>
    <t>NEO-MATH-Y10-035</t>
  </si>
  <si>
    <t>NEO-MATH-Y9-031</t>
  </si>
  <si>
    <t>NEO-MATH-Y9-03</t>
  </si>
  <si>
    <t>Quadratics: When Change Itself Changes</t>
  </si>
  <si>
    <t>Try one change: Write linear equations</t>
  </si>
  <si>
    <t>What changes when I adjust one part of write linear equations?</t>
  </si>
  <si>
    <t>Connect &amp; notice: Recognise quadratic patterns</t>
  </si>
  <si>
    <t>write linear equations</t>
  </si>
  <si>
    <t>What do I already notice about recognise quadratic patterns?</t>
  </si>
  <si>
    <t>recognise quadratic patterns</t>
  </si>
  <si>
    <t>Connection, Creativity</t>
  </si>
  <si>
    <t>Quadratic Shape Shifter</t>
  </si>
  <si>
    <t>Quadratics: When Change Itself Changes – recognise quadratic patterns</t>
  </si>
  <si>
    <t>Straight Lines, Sets and Connected Representations – write linear equations</t>
  </si>
  <si>
    <t>Scratchpad prediction or notice about recognise quadratic patterns</t>
  </si>
  <si>
    <t>Annotated representation of write linear equations</t>
  </si>
  <si>
    <t>Learner can recognise quadratic patterns and give a reason or check.</t>
  </si>
  <si>
    <t>Learner can write linear equations and give a reason or check.</t>
  </si>
  <si>
    <t>NC KS3; 4MA1 2.2, 2.7, 3.3</t>
  </si>
  <si>
    <t>High visual/algebra</t>
  </si>
  <si>
    <t>NEO-MATH-Y9-032</t>
  </si>
  <si>
    <t>NEO-MATH-Y10-036</t>
  </si>
  <si>
    <t>Build the idea: Use second differences</t>
  </si>
  <si>
    <t>Connect ideas: Interpret conversion graphs</t>
  </si>
  <si>
    <t>What does use second differences mean before I use a procedure?</t>
  </si>
  <si>
    <t>How does interpret conversion graphs connect to the earlier relationship?</t>
  </si>
  <si>
    <t>use second differences</t>
  </si>
  <si>
    <t>interpret conversion graphs</t>
  </si>
  <si>
    <t>Quadratics: When Change Itself Changes – use second differences</t>
  </si>
  <si>
    <t>Annotated representation of use second differences</t>
  </si>
  <si>
    <t>Learner can use second differences and give a reason or check.</t>
  </si>
  <si>
    <t>Straight Lines, Sets and Connected Representations – interpret conversion graphs</t>
  </si>
  <si>
    <t>Annotated representation of interpret conversion graphs</t>
  </si>
  <si>
    <t>Learner can interpret conversion graphs and give a reason or check.</t>
  </si>
  <si>
    <t>NEO-MATH-Y9-033</t>
  </si>
  <si>
    <t>NEO-MATH-Y10-037</t>
  </si>
  <si>
    <t>Learner can simplify by collecting like terms sufficiently to return to Quadratics: When Change Itself Changes.</t>
  </si>
  <si>
    <t>Repair a misconception: Connect representations</t>
  </si>
  <si>
    <t>What tempting mistake can connect representations create?</t>
  </si>
  <si>
    <t>connect representations</t>
  </si>
  <si>
    <t>Straight Lines, Sets and Connected Representations – connect representations</t>
  </si>
  <si>
    <t>Corrected misconception note: connect representations</t>
  </si>
  <si>
    <t>Learner can connect representations and give a reason or check.</t>
  </si>
  <si>
    <t>Not 'catch-up'. A targeted route from Year 8 learning that reconnects the learner to NEO-MATH-Y9-03.</t>
  </si>
  <si>
    <t>NEO-MATH-Y9-034</t>
  </si>
  <si>
    <t>NEO-MATH-Y10-038</t>
  </si>
  <si>
    <t>Represent it: Expand simple quadratics</t>
  </si>
  <si>
    <t>How can I show expand simple quadratics in more than one way?</t>
  </si>
  <si>
    <t>expand simple quadratics</t>
  </si>
  <si>
    <t>Apply in context: Use set notation and Venn diagrams</t>
  </si>
  <si>
    <t>Where might use set notation and Venn diagrams help with a real decision?</t>
  </si>
  <si>
    <t>Quadratics: When Change Itself Changes – expand simple quadratics</t>
  </si>
  <si>
    <t>Annotated representation of expand simple quadratics</t>
  </si>
  <si>
    <t>Learner can expand simple quadratics and give a reason or check.</t>
  </si>
  <si>
    <t>Short contextual application of use set notation and Venn diagrams</t>
  </si>
  <si>
    <t>NEO-MATH-Y9-035</t>
  </si>
  <si>
    <t>Try one change: Factorise simple quadratics</t>
  </si>
  <si>
    <t>What changes when I adjust one part of factorise simple quadratics?</t>
  </si>
  <si>
    <t>factorise simple quadratics</t>
  </si>
  <si>
    <t>NEO-MATH-Y10-039</t>
  </si>
  <si>
    <t>Quadratics: When Change Itself Changes – factorise simple quadratics</t>
  </si>
  <si>
    <t>Annotated representation of factorise simple quadratics</t>
  </si>
  <si>
    <t>Learner can factorise simple quadratics and give a reason or check.</t>
  </si>
  <si>
    <t>Model and test: Generate graph points</t>
  </si>
  <si>
    <t>Can I build a model using generate graph points and test it?</t>
  </si>
  <si>
    <t>NEO-MATH-Y9-036</t>
  </si>
  <si>
    <t>Tested model using generate graph points</t>
  </si>
  <si>
    <t>Connect ideas: Connect quadratic rules and graphs</t>
  </si>
  <si>
    <t>How does connect quadratic rules and graphs connect to the earlier relationship?</t>
  </si>
  <si>
    <t>connect quadratic rules and graphs</t>
  </si>
  <si>
    <t>NEO-MATH-Y10-040</t>
  </si>
  <si>
    <t>Quadratics: When Change Itself Changes – connect quadratic rules and graphs</t>
  </si>
  <si>
    <t>Annotated representation of connect quadratic rules and graphs</t>
  </si>
  <si>
    <t>Learner can connect quadratic rules and graphs and give a reason or check.</t>
  </si>
  <si>
    <t>Compare strategies: Find gradient and intercept</t>
  </si>
  <si>
    <t>Which route through find gradient and intercept is clearest or most efficient?</t>
  </si>
  <si>
    <t>NEO-MATH-Y9-037</t>
  </si>
  <si>
    <t>Reconnection: Expanding brackets</t>
  </si>
  <si>
    <t>Two-route comparison for find gradient and intercept</t>
  </si>
  <si>
    <t>Branch triggered when expand single brackets is not yet secure enough for the current unit.</t>
  </si>
  <si>
    <t>Expanding brackets targeted practice</t>
  </si>
  <si>
    <t>Short reconnection evidence: expand single brackets</t>
  </si>
  <si>
    <t>Learner can expand single brackets sufficiently to return to Quadratics: When Change Itself Changes.</t>
  </si>
  <si>
    <t>NEO-MATH-Y10-041</t>
  </si>
  <si>
    <t>NEO-MATH-Y9-038</t>
  </si>
  <si>
    <t>Assessment translation 1: Use set notation and Venn diagrams</t>
  </si>
  <si>
    <t>How might a qualification question hide the need to use set notation and Venn diagrams?</t>
  </si>
  <si>
    <t>translate assessed wording into the canonical move: use set notation and Venn diagrams</t>
  </si>
  <si>
    <t>Repair a misconception: Recognise quadratic patterns</t>
  </si>
  <si>
    <t>What tempting mistake can recognise quadratic patterns create?</t>
  </si>
  <si>
    <t>4MA1-style mixed questions: use set notation and Venn diagrams</t>
  </si>
  <si>
    <t>Corrected misconception note: recognise quadratic patterns</t>
  </si>
  <si>
    <t>Annotated assessed-world question showing givens, goal, route and check for use set notation and Venn diagrams</t>
  </si>
  <si>
    <t>Learner identifies the mathematics, selects a route and checks a solution involving use set notation and Venn diagrams.</t>
  </si>
  <si>
    <t>NEO-MATH-Y9-039</t>
  </si>
  <si>
    <t>Apply in context: Use second differences</t>
  </si>
  <si>
    <t>Where might use second differences help with a real decision?</t>
  </si>
  <si>
    <t>NEO-MATH-Y10-042</t>
  </si>
  <si>
    <t>Short contextual application of use second differences</t>
  </si>
  <si>
    <t>Practice with choice: Write linear equations</t>
  </si>
  <si>
    <t>Can I use write linear equations without being told the method?</t>
  </si>
  <si>
    <t>NEO-MATH-Y9-040</t>
  </si>
  <si>
    <t>Model and test: Expand simple quadratics</t>
  </si>
  <si>
    <t>Can I build a model using expand simple quadratics and test it?</t>
  </si>
  <si>
    <t>Tested model using expand simple quadratics</t>
  </si>
  <si>
    <t>Practice Companion evidence for write linear equations</t>
  </si>
  <si>
    <t>NEO-MATH-Y9-041</t>
  </si>
  <si>
    <t>NEO-MATH-Y10-043</t>
  </si>
  <si>
    <t>Qualification translation: Interpret conversion graphs</t>
  </si>
  <si>
    <t>How might an assessed question disguise interpret conversion graphs?</t>
  </si>
  <si>
    <t>Learner can generate coordinates from a linear rule sufficiently to return to Quadratics: When Change Itself Changes.</t>
  </si>
  <si>
    <t>Annotated question translation for interpret conversion graphs</t>
  </si>
  <si>
    <t>NEO-MATH-Y9-042</t>
  </si>
  <si>
    <t>NEO-MATH-Y10-044</t>
  </si>
  <si>
    <t>Compare strategies: Factorise simple quadratics</t>
  </si>
  <si>
    <t>Which route through factorise simple quadratics is clearest or most efficient?</t>
  </si>
  <si>
    <t>Mastery checkpoint: Connect representations</t>
  </si>
  <si>
    <t>Two-route comparison for factorise simple quadratics</t>
  </si>
  <si>
    <t>What can I now explain, apply and check about connect representations?</t>
  </si>
  <si>
    <t>Connected Representation Portfolio</t>
  </si>
  <si>
    <t>NEO-MATH-Y9-043</t>
  </si>
  <si>
    <t>Practice with choice: Connect quadratic rules and graphs</t>
  </si>
  <si>
    <t>Can I use connect quadratic rules and graphs without being told the method?</t>
  </si>
  <si>
    <t>Practice Companion evidence for connect quadratic rules and graphs</t>
  </si>
  <si>
    <t>NEO-MATH-Y10-045</t>
  </si>
  <si>
    <t>NEO-MATH-Y9-044</t>
  </si>
  <si>
    <t>Evidence and next step: Straight Lines, Sets and Connected Representations</t>
  </si>
  <si>
    <t>Mastery checkpoint: Recognise quadratic patterns</t>
  </si>
  <si>
    <t>What can I now explain, apply and check about recognise quadratic patterns?</t>
  </si>
  <si>
    <t>Quadratic Graph Story</t>
  </si>
  <si>
    <t>NEO-MATH-Y10-046</t>
  </si>
  <si>
    <t>NEO-MATH-Y10-04</t>
  </si>
  <si>
    <t>Percentages, Ratio and Growth Models</t>
  </si>
  <si>
    <t>NEO-MATH-Y9-045</t>
  </si>
  <si>
    <t>Connect &amp; notice: Solve ratio and proportion</t>
  </si>
  <si>
    <t>What do I already notice about solve ratio and proportion?</t>
  </si>
  <si>
    <t>solve ratio and proportion</t>
  </si>
  <si>
    <t>Pause, connect and strengthen: Quadratics: When Change Itself Changes</t>
  </si>
  <si>
    <t>Connection, Reflection</t>
  </si>
  <si>
    <t>Growth Multiplier Lab</t>
  </si>
  <si>
    <t>Scaling Lab</t>
  </si>
  <si>
    <t>Percentages, Ratio and Growth Models – solve ratio and proportion</t>
  </si>
  <si>
    <t>Scratchpad prediction or notice about solve ratio and proportion</t>
  </si>
  <si>
    <t>Learner can solve ratio and proportion and give a reason or check.</t>
  </si>
  <si>
    <t>Pearson Edexcel 4MA1 1.6-1.7; FS L2</t>
  </si>
  <si>
    <t>NEO-MATH-Y9-046</t>
  </si>
  <si>
    <t>NEO-MATH-Y10-047</t>
  </si>
  <si>
    <t>Open inquiry: Quadratic Graph Story</t>
  </si>
  <si>
    <t>How far can I take connect quadratic rules and graphs when I choose the model or context?</t>
  </si>
  <si>
    <t>generalise and apply connect quadratic rules and graphs in a learner-selected or unfamiliar context</t>
  </si>
  <si>
    <t>Build the idea: Use percentages</t>
  </si>
  <si>
    <t>What does use percentages mean before I use a procedure?</t>
  </si>
  <si>
    <t>use percentages</t>
  </si>
  <si>
    <t>Learner generalises connect quadratic rules and graphs, tests assumptions and communicates a defensible conclusion.</t>
  </si>
  <si>
    <t>Percentages, Ratio and Growth Models – use percentages</t>
  </si>
  <si>
    <t>Annotated representation of use percentages</t>
  </si>
  <si>
    <t>Learner can use percentages and give a reason or check.</t>
  </si>
  <si>
    <t>NEO-MATH-Y9-047</t>
  </si>
  <si>
    <t>NEO-MATH-Y9-04</t>
  </si>
  <si>
    <t>Precision, Loci and Safe Routes</t>
  </si>
  <si>
    <t>NEO-MATH-Y10-048</t>
  </si>
  <si>
    <t>Connect &amp; notice: Use ruler and compass constructions</t>
  </si>
  <si>
    <t>What do I already notice about use ruler and compass constructions?</t>
  </si>
  <si>
    <t>use ruler and compass constructions</t>
  </si>
  <si>
    <t>Locus and Safe-Route Planner</t>
  </si>
  <si>
    <t>Represent it: Calculate repeated change and compound interest</t>
  </si>
  <si>
    <t>Precision, Loci and Safe Routes – use ruler and compass constructions</t>
  </si>
  <si>
    <t>How can I show calculate repeated change and compound interest in more than one way?</t>
  </si>
  <si>
    <t>Scratchpad prediction or notice about use ruler and compass constructions</t>
  </si>
  <si>
    <t>Learner can use ruler and compass constructions and give a reason or check.</t>
  </si>
  <si>
    <t>calculate repeated change and compound interest</t>
  </si>
  <si>
    <t>NC KS3; 4MA1 4.4-4.5, 4.11; FS</t>
  </si>
  <si>
    <t>Percentages, Ratio and Growth Models – calculate repeated change and compound interest</t>
  </si>
  <si>
    <t>Annotated representation of calculate repeated change and compound interest</t>
  </si>
  <si>
    <t>Learner can calculate repeated change and compound interest and give a reason or check.</t>
  </si>
  <si>
    <t>NEO-MATH-Y9-048</t>
  </si>
  <si>
    <t>NEO-MATH-Y10-049</t>
  </si>
  <si>
    <t>Build the idea: Construct bisectors</t>
  </si>
  <si>
    <t>What does construct bisectors mean before I use a procedure?</t>
  </si>
  <si>
    <t>construct bisectors</t>
  </si>
  <si>
    <t>Reconnection: Unitary method</t>
  </si>
  <si>
    <t>Precision, Loci and Safe Routes – construct bisectors</t>
  </si>
  <si>
    <t>Annotated representation of construct bisectors</t>
  </si>
  <si>
    <t>Branch triggered when find one unit then scale is not yet secure enough for the current unit.</t>
  </si>
  <si>
    <t>Learner can construct bisectors and give a reason or check.</t>
  </si>
  <si>
    <t>Unitary method targeted practice</t>
  </si>
  <si>
    <t>Short reconnection evidence: find one unit then scale</t>
  </si>
  <si>
    <t>Learner can find one unit then scale sufficiently to return to Percentages, Ratio and Growth Models.</t>
  </si>
  <si>
    <t>NEO-MATH-Y9-049</t>
  </si>
  <si>
    <t>Not 'catch-up'. A targeted route from Year 8 learning that reconnects the learner to NEO-MATH-Y10-04.</t>
  </si>
  <si>
    <t>Reconnection: Angle facts</t>
  </si>
  <si>
    <t>NEO-MATH-Y10-050</t>
  </si>
  <si>
    <t>Branch triggered when use angle facts around points, lines and triangles is not yet secure enough for the current unit.</t>
  </si>
  <si>
    <t>Angle facts targeted practice</t>
  </si>
  <si>
    <t>Try one change: Use direct proportion</t>
  </si>
  <si>
    <t>Short reconnection evidence: use angle facts around points, lines and triangles</t>
  </si>
  <si>
    <t>What changes when I adjust one part of use direct proportion?</t>
  </si>
  <si>
    <t>Learner can use angle facts around points, lines and triangles sufficiently to return to Precision, Loci and Safe Routes.</t>
  </si>
  <si>
    <t>use direct proportion</t>
  </si>
  <si>
    <t>Not 'catch-up'. A targeted route from Year 7 learning that reconnects the learner to NEO-MATH-Y9-04.</t>
  </si>
  <si>
    <t>Percentages, Ratio and Growth Models – use direct proportion</t>
  </si>
  <si>
    <t>NEO-MATH-Y9-050</t>
  </si>
  <si>
    <t>Annotated representation of use direct proportion</t>
  </si>
  <si>
    <t>Learner can use direct proportion and give a reason or check.</t>
  </si>
  <si>
    <t>Represent it: Describe loci</t>
  </si>
  <si>
    <t>How can I show describe loci in more than one way?</t>
  </si>
  <si>
    <t>describe loci</t>
  </si>
  <si>
    <t>NEO-MATH-Y10-051</t>
  </si>
  <si>
    <t>Precision, Loci and Safe Routes – describe loci</t>
  </si>
  <si>
    <t>Annotated representation of describe loci</t>
  </si>
  <si>
    <t>Learner can describe loci and give a reason or check.</t>
  </si>
  <si>
    <t>Connect ideas: Interpret growth models</t>
  </si>
  <si>
    <t>How does interpret growth models connect to the earlier relationship?</t>
  </si>
  <si>
    <t>interpret growth models</t>
  </si>
  <si>
    <t>NEO-MATH-Y9-051</t>
  </si>
  <si>
    <t>Percentages, Ratio and Growth Models – interpret growth models</t>
  </si>
  <si>
    <t>Annotated representation of interpret growth models</t>
  </si>
  <si>
    <t>Learner can interpret growth models and give a reason or check.</t>
  </si>
  <si>
    <t>Try one change: Use bearings</t>
  </si>
  <si>
    <t>What changes when I adjust one part of use bearings?</t>
  </si>
  <si>
    <t>use bearings</t>
  </si>
  <si>
    <t>Precision, Loci and Safe Routes – use bearings</t>
  </si>
  <si>
    <t>Annotated representation of use bearings</t>
  </si>
  <si>
    <t>Learner can use bearings and give a reason or check.</t>
  </si>
  <si>
    <t>NEO-MATH-Y10-052</t>
  </si>
  <si>
    <t>Repair a misconception: Reverse percentage changes</t>
  </si>
  <si>
    <t>What tempting mistake can reverse percentage changes create?</t>
  </si>
  <si>
    <t>NEO-MATH-Y9-052</t>
  </si>
  <si>
    <t>reverse percentage changes</t>
  </si>
  <si>
    <t>Connect ideas: Apply scale to route planning</t>
  </si>
  <si>
    <t>How does apply scale to route planning connect to the earlier relationship?</t>
  </si>
  <si>
    <t>apply scale to route planning</t>
  </si>
  <si>
    <t>Percentages, Ratio and Growth Models – reverse percentage changes</t>
  </si>
  <si>
    <t>Corrected misconception note: reverse percentage changes</t>
  </si>
  <si>
    <t>Learner can reverse percentage changes and give a reason or check.</t>
  </si>
  <si>
    <t>Precision, Loci and Safe Routes – apply scale to route planning</t>
  </si>
  <si>
    <t>Annotated representation of apply scale to route planning</t>
  </si>
  <si>
    <t>Learner can apply scale to route planning and give a reason or check.</t>
  </si>
  <si>
    <t>NEO-MATH-Y10-053</t>
  </si>
  <si>
    <t>NEO-MATH-Y9-053</t>
  </si>
  <si>
    <t>Reconnection: Parallel lines</t>
  </si>
  <si>
    <t>Apply in context: Solve ratio and proportion</t>
  </si>
  <si>
    <t>Where might solve ratio and proportion help with a real decision?</t>
  </si>
  <si>
    <t>Branch triggered when use alternate, corresponding and co-interior angle facts is not yet secure enough for the current unit.</t>
  </si>
  <si>
    <t>Parallel lines targeted practice</t>
  </si>
  <si>
    <t>Short contextual application of solve ratio and proportion</t>
  </si>
  <si>
    <t>Short reconnection evidence: use alternate, corresponding and co-interior angle facts</t>
  </si>
  <si>
    <t>Learner can use alternate, corresponding and co-interior angle facts sufficiently to return to Precision, Loci and Safe Routes.</t>
  </si>
  <si>
    <t>Not 'catch-up'. A targeted route from Year 8 learning that reconnects the learner to NEO-MATH-Y9-04.</t>
  </si>
  <si>
    <t>NEO-MATH-Y10-054</t>
  </si>
  <si>
    <t>NEO-MATH-Y9-054</t>
  </si>
  <si>
    <t>Model and test: Use percentages</t>
  </si>
  <si>
    <t>Repair a misconception: Use ruler and compass constructions</t>
  </si>
  <si>
    <t>What tempting mistake can use ruler and compass constructions create?</t>
  </si>
  <si>
    <t>Can I build a model using use percentages and test it?</t>
  </si>
  <si>
    <t>Corrected misconception note: use ruler and compass constructions</t>
  </si>
  <si>
    <t>Tested model using use percentages</t>
  </si>
  <si>
    <t>NEO-MATH-Y9-055</t>
  </si>
  <si>
    <t>NEO-MATH-Y10-055</t>
  </si>
  <si>
    <t>Apply in context: Construct bisectors</t>
  </si>
  <si>
    <t>Where might construct bisectors help with a real decision?</t>
  </si>
  <si>
    <t>Compare strategies: Calculate repeated change and compound interest</t>
  </si>
  <si>
    <t>Which route through calculate repeated change and compound interest is clearest or most efficient?</t>
  </si>
  <si>
    <t>Short contextual application of construct bisectors</t>
  </si>
  <si>
    <t>Two-route comparison for calculate repeated change and compound interest</t>
  </si>
  <si>
    <t>NEO-MATH-Y9-056</t>
  </si>
  <si>
    <t>Model and test: Describe loci</t>
  </si>
  <si>
    <t>NEO-MATH-Y10-056</t>
  </si>
  <si>
    <t>Can I build a model using describe loci and test it?</t>
  </si>
  <si>
    <t>Assessment translation 1: Solve ratio and proportion</t>
  </si>
  <si>
    <t>How might a qualification question hide the need to solve ratio and proportion?</t>
  </si>
  <si>
    <t>translate assessed wording into the canonical move: solve ratio and proportion</t>
  </si>
  <si>
    <t>Tested model using describe loci</t>
  </si>
  <si>
    <t>4MA1-style mixed questions: solve ratio and proportion</t>
  </si>
  <si>
    <t>NEO-MATH-Y9-057</t>
  </si>
  <si>
    <t>Annotated assessed-world question showing givens, goal, route and check for solve ratio and proportion</t>
  </si>
  <si>
    <t>Learner identifies the mathematics, selects a route and checks a solution involving solve ratio and proportion.</t>
  </si>
  <si>
    <t>Compare strategies: Use bearings</t>
  </si>
  <si>
    <t>Which route through use bearings is clearest or most efficient?</t>
  </si>
  <si>
    <t>NEO-MATH-Y10-057</t>
  </si>
  <si>
    <t>Two-route comparison for use bearings</t>
  </si>
  <si>
    <t>Practice with choice: Use direct proportion</t>
  </si>
  <si>
    <t>Can I use use direct proportion without being told the method?</t>
  </si>
  <si>
    <t>NEO-MATH-Y9-058</t>
  </si>
  <si>
    <t>Practice Companion evidence for use direct proportion</t>
  </si>
  <si>
    <t>Practice with choice: Apply scale to route planning</t>
  </si>
  <si>
    <t>Can I use apply scale to route planning without being told the method?</t>
  </si>
  <si>
    <t>Practice Companion evidence for apply scale to route planning</t>
  </si>
  <si>
    <t>NEO-MATH-Y10-058</t>
  </si>
  <si>
    <t>NEO-MATH-Y9-059</t>
  </si>
  <si>
    <t>Qualification translation: Interpret growth models</t>
  </si>
  <si>
    <t>How might an assessed question disguise interpret growth models?</t>
  </si>
  <si>
    <t>Mastery checkpoint: Use ruler and compass constructions</t>
  </si>
  <si>
    <t>What can I now explain, apply and check about use ruler and compass constructions?</t>
  </si>
  <si>
    <t>Annotated question translation for interpret growth models</t>
  </si>
  <si>
    <t>Safe Route Map with Construction Notes</t>
  </si>
  <si>
    <t>NEO-MATH-Y10-059</t>
  </si>
  <si>
    <t>NEO-MATH-Y9-060</t>
  </si>
  <si>
    <t>Mastery checkpoint: Reverse percentage changes</t>
  </si>
  <si>
    <t>What can I now explain, apply and check about reverse percentage changes?</t>
  </si>
  <si>
    <t>Pause, connect and strengthen: Precision, Loci and Safe Routes</t>
  </si>
  <si>
    <t>Growth or Decay Model Review</t>
  </si>
  <si>
    <t>NEO-MATH-Y9-061</t>
  </si>
  <si>
    <t>Open inquiry: Safe Route Map with Construction Notes</t>
  </si>
  <si>
    <t>How far can I take apply scale to route planning when I choose the model or context?</t>
  </si>
  <si>
    <t>generalise and apply apply scale to route planning in a learner-selected or unfamiliar context</t>
  </si>
  <si>
    <t>NEO-MATH-Y10-060</t>
  </si>
  <si>
    <t>Learner generalises apply scale to route planning, tests assumptions and communicates a defensible conclusion.</t>
  </si>
  <si>
    <t>NEO-MATH-Y9-062</t>
  </si>
  <si>
    <t>NEO-MATH-Y9-05</t>
  </si>
  <si>
    <t>Inequalities: Mathematics with Boundaries</t>
  </si>
  <si>
    <t>Evidence and next step: Percentages, Ratio and Growth Models</t>
  </si>
  <si>
    <t>Connect &amp; notice: Solve linear inequalities</t>
  </si>
  <si>
    <t>What do I already notice about solve linear inequalities?</t>
  </si>
  <si>
    <t>solve linear inequalities</t>
  </si>
  <si>
    <t>Inequality Region Painter</t>
  </si>
  <si>
    <t>Inequalities: Mathematics with Boundaries – solve linear inequalities</t>
  </si>
  <si>
    <t>Scratchpad prediction or notice about solve linear inequalities</t>
  </si>
  <si>
    <t>Learner can solve linear inequalities and give a reason or check.</t>
  </si>
  <si>
    <t>NC KS3; 4MA1 2.8</t>
  </si>
  <si>
    <t>NEO-MATH-Y9-063</t>
  </si>
  <si>
    <t>NEO-MATH-Y10-061</t>
  </si>
  <si>
    <t>NEO-MATH-Y10-05</t>
  </si>
  <si>
    <t>Equations, Inequalities and Simultaneous Relationships</t>
  </si>
  <si>
    <t>Build the idea: Represent solution sets</t>
  </si>
  <si>
    <t>What does represent solution sets mean before I use a procedure?</t>
  </si>
  <si>
    <t>represent solution sets</t>
  </si>
  <si>
    <t>Connect &amp; notice: Solve linear equations</t>
  </si>
  <si>
    <t>What do I already notice about solve linear equations?</t>
  </si>
  <si>
    <t>solve linear equations</t>
  </si>
  <si>
    <t>Inequalities: Mathematics with Boundaries – represent solution sets</t>
  </si>
  <si>
    <t>Annotated representation of represent solution sets</t>
  </si>
  <si>
    <t>Intersection and Constraint Studio</t>
  </si>
  <si>
    <t>Learner can represent solution sets and give a reason or check.</t>
  </si>
  <si>
    <t>Equations, Inequalities and Simultaneous Relationships – solve linear equations</t>
  </si>
  <si>
    <t>Scratchpad prediction or notice about solve linear equations</t>
  </si>
  <si>
    <t>Learner can solve linear equations and give a reason or check.</t>
  </si>
  <si>
    <t>Pearson Edexcel 4MA1 2.4, 2.6, 2.8</t>
  </si>
  <si>
    <t>High</t>
  </si>
  <si>
    <t>NEO-MATH-Y9-064</t>
  </si>
  <si>
    <t>NEO-MATH-Y10-062</t>
  </si>
  <si>
    <t>Reconnection: One- and two-step equations</t>
  </si>
  <si>
    <t>Branch triggered when solve linear equations using inverse operations is not yet secure enough for the current unit.</t>
  </si>
  <si>
    <t>Build the idea: Solve simultaneous equations</t>
  </si>
  <si>
    <t>What does solve simultaneous equations mean before I use a procedure?</t>
  </si>
  <si>
    <t>solve simultaneous equations</t>
  </si>
  <si>
    <t>One- and two-step equations targeted practice</t>
  </si>
  <si>
    <t>Short reconnection evidence: solve linear equations using inverse operations</t>
  </si>
  <si>
    <t>Learner can solve linear equations using inverse operations sufficiently to return to Inequalities: Mathematics with Boundaries.</t>
  </si>
  <si>
    <t>Equations, Inequalities and Simultaneous Relationships – solve simultaneous equations</t>
  </si>
  <si>
    <t>Annotated representation of solve simultaneous equations</t>
  </si>
  <si>
    <t>Not 'catch-up'. A targeted route from Year 8 learning that reconnects the learner to NEO-MATH-Y9-05.</t>
  </si>
  <si>
    <t>Learner can solve simultaneous equations and give a reason or check.</t>
  </si>
  <si>
    <t>NEO-MATH-Y9-065</t>
  </si>
  <si>
    <t>Represent it: Use open and closed endpoints</t>
  </si>
  <si>
    <t>How can I show use open and closed endpoints in more than one way?</t>
  </si>
  <si>
    <t>use open and closed endpoints</t>
  </si>
  <si>
    <t>NEO-MATH-Y10-063</t>
  </si>
  <si>
    <t>Inequalities: Mathematics with Boundaries – use open and closed endpoints</t>
  </si>
  <si>
    <t>Annotated representation of use open and closed endpoints</t>
  </si>
  <si>
    <t>Learner can use open and closed endpoints and give a reason or check.</t>
  </si>
  <si>
    <t>Represent it: Solve and represent inequalities</t>
  </si>
  <si>
    <t>How can I show solve and represent inequalities in more than one way?</t>
  </si>
  <si>
    <t>solve and represent inequalities</t>
  </si>
  <si>
    <t>NEO-MATH-Y9-066</t>
  </si>
  <si>
    <t>Equations, Inequalities and Simultaneous Relationships – solve and represent inequalities</t>
  </si>
  <si>
    <t>Annotated representation of solve and represent inequalities</t>
  </si>
  <si>
    <t>Learner can solve and represent inequalities and give a reason or check.</t>
  </si>
  <si>
    <t>Try one change: Form inequalities</t>
  </si>
  <si>
    <t>What changes when I adjust one part of form inequalities?</t>
  </si>
  <si>
    <t>form inequalities</t>
  </si>
  <si>
    <t>Inequalities: Mathematics with Boundaries – form inequalities</t>
  </si>
  <si>
    <t>Annotated representation of form inequalities</t>
  </si>
  <si>
    <t>Learner can form inequalities and give a reason or check.</t>
  </si>
  <si>
    <t>NEO-MATH-Y10-064</t>
  </si>
  <si>
    <t>NEO-MATH-Y9-067</t>
  </si>
  <si>
    <t>Connect ideas: Interpret regions and boundaries</t>
  </si>
  <si>
    <t>How does interpret regions and boundaries connect to the earlier relationship?</t>
  </si>
  <si>
    <t>interpret regions and boundaries</t>
  </si>
  <si>
    <t>Learner can solve linear equations using inverse operations sufficiently to return to Equations, Inequalities and Simultaneous Relationships.</t>
  </si>
  <si>
    <t>Inequalities: Mathematics with Boundaries – interpret regions and boundaries</t>
  </si>
  <si>
    <t>Annotated representation of interpret regions and boundaries</t>
  </si>
  <si>
    <t>Learner can interpret regions and boundaries and give a reason or check.</t>
  </si>
  <si>
    <t>Not 'catch-up'. A targeted route from Year 8 learning that reconnects the learner to NEO-MATH-Y10-05.</t>
  </si>
  <si>
    <t>NEO-MATH-Y10-065</t>
  </si>
  <si>
    <t>NEO-MATH-Y9-068</t>
  </si>
  <si>
    <t>Try one change: Form equations</t>
  </si>
  <si>
    <t>Reconnection: Coordinates</t>
  </si>
  <si>
    <t>What changes when I adjust one part of form equations?</t>
  </si>
  <si>
    <t>form equations</t>
  </si>
  <si>
    <t>Branch triggered when plot and read coordinates in four quadrants is not yet secure enough for the current unit.</t>
  </si>
  <si>
    <t>Coordinates targeted practice</t>
  </si>
  <si>
    <t>Equations, Inequalities and Simultaneous Relationships – form equations</t>
  </si>
  <si>
    <t>Annotated representation of form equations</t>
  </si>
  <si>
    <t>Learner can form equations and give a reason or check.</t>
  </si>
  <si>
    <t>Short reconnection evidence: plot and read coordinates in four quadrants</t>
  </si>
  <si>
    <t>Learner can plot and read coordinates in four quadrants sufficiently to return to Inequalities: Mathematics with Boundaries.</t>
  </si>
  <si>
    <t>NEO-MATH-Y9-069</t>
  </si>
  <si>
    <t>NEO-MATH-Y10-066</t>
  </si>
  <si>
    <t>Repair a misconception: Solve linear inequalities</t>
  </si>
  <si>
    <t>What tempting mistake can solve linear inequalities create?</t>
  </si>
  <si>
    <t>Connect ideas: Interpret intersections</t>
  </si>
  <si>
    <t>How does interpret intersections connect to the earlier relationship?</t>
  </si>
  <si>
    <t>interpret intersections</t>
  </si>
  <si>
    <t>Corrected misconception note: solve linear inequalities</t>
  </si>
  <si>
    <t>Equations, Inequalities and Simultaneous Relationships – interpret intersections</t>
  </si>
  <si>
    <t>Annotated representation of interpret intersections</t>
  </si>
  <si>
    <t>Learner can interpret intersections and give a reason or check.</t>
  </si>
  <si>
    <t>NEO-MATH-Y9-070</t>
  </si>
  <si>
    <t>Apply in context: Represent solution sets</t>
  </si>
  <si>
    <t>Where might represent solution sets help with a real decision?</t>
  </si>
  <si>
    <t>NEO-MATH-Y10-067</t>
  </si>
  <si>
    <t>Short contextual application of represent solution sets</t>
  </si>
  <si>
    <t>Repair a misconception: Check solutions</t>
  </si>
  <si>
    <t>What tempting mistake can check solutions create?</t>
  </si>
  <si>
    <t>check solutions</t>
  </si>
  <si>
    <t>Equations, Inequalities and Simultaneous Relationships – check solutions</t>
  </si>
  <si>
    <t>Corrected misconception note: check solutions</t>
  </si>
  <si>
    <t>Learner can check solutions and give a reason or check.</t>
  </si>
  <si>
    <t>NEO-MATH-Y9-071</t>
  </si>
  <si>
    <t>NEO-MATH-Y10-068</t>
  </si>
  <si>
    <t>Model and test: Use open and closed endpoints</t>
  </si>
  <si>
    <t>Can I build a model using use open and closed endpoints and test it?</t>
  </si>
  <si>
    <t>Apply in context: Solve linear equations</t>
  </si>
  <si>
    <t>Where might solve linear equations help with a real decision?</t>
  </si>
  <si>
    <t>Tested model using use open and closed endpoints</t>
  </si>
  <si>
    <t>Short contextual application of solve linear equations</t>
  </si>
  <si>
    <t>NEO-MATH-Y9-072</t>
  </si>
  <si>
    <t>Compare strategies: Form inequalities</t>
  </si>
  <si>
    <t>Which route through form inequalities is clearest or most efficient?</t>
  </si>
  <si>
    <t>NEO-MATH-Y10-069</t>
  </si>
  <si>
    <t>Model and test: Solve simultaneous equations</t>
  </si>
  <si>
    <t>Can I build a model using solve simultaneous equations and test it?</t>
  </si>
  <si>
    <t>Two-route comparison for form inequalities</t>
  </si>
  <si>
    <t>Tested model using solve simultaneous equations</t>
  </si>
  <si>
    <t>NEO-MATH-Y9-073</t>
  </si>
  <si>
    <t>Practice with choice: Interpret regions and boundaries</t>
  </si>
  <si>
    <t>Can I use interpret regions and boundaries without being told the method?</t>
  </si>
  <si>
    <t>NEO-MATH-Y10-070</t>
  </si>
  <si>
    <t>Practice Companion evidence for interpret regions and boundaries</t>
  </si>
  <si>
    <t>Compare strategies: Solve and represent inequalities</t>
  </si>
  <si>
    <t>Which route through solve and represent inequalities is clearest or most efficient?</t>
  </si>
  <si>
    <t>NEO-MATH-Y9-074</t>
  </si>
  <si>
    <t>Two-route comparison for solve and represent inequalities</t>
  </si>
  <si>
    <t>Mastery checkpoint: Solve linear inequalities</t>
  </si>
  <si>
    <t>What can I now explain, apply and check about solve linear inequalities?</t>
  </si>
  <si>
    <t>Constraints Design Brief</t>
  </si>
  <si>
    <t>NEO-MATH-Y10-071</t>
  </si>
  <si>
    <t>Assessment translation 1: Solve linear equations</t>
  </si>
  <si>
    <t>How might a qualification question hide the need to solve linear equations?</t>
  </si>
  <si>
    <t>NEO-MATH-Y9-075</t>
  </si>
  <si>
    <t>translate assessed wording into the canonical move: solve linear equations</t>
  </si>
  <si>
    <t>Pause, connect and strengthen: Inequalities: Mathematics with Boundaries</t>
  </si>
  <si>
    <t>4MA1-style mixed questions: solve linear equations</t>
  </si>
  <si>
    <t>Annotated assessed-world question showing givens, goal, route and check for solve linear equations</t>
  </si>
  <si>
    <t>Learner identifies the mathematics, selects a route and checks a solution involving solve linear equations.</t>
  </si>
  <si>
    <t>NEO-MATH-Y10-072</t>
  </si>
  <si>
    <t>NEO-MATH-Y9-076</t>
  </si>
  <si>
    <t>Practice with choice: Form equations</t>
  </si>
  <si>
    <t>Can I use form equations without being told the method?</t>
  </si>
  <si>
    <t>Open inquiry: Constraints Design Brief</t>
  </si>
  <si>
    <t>How far can I take interpret regions and boundaries when I choose the model or context?</t>
  </si>
  <si>
    <t>generalise and apply interpret regions and boundaries in a learner-selected or unfamiliar context</t>
  </si>
  <si>
    <t>Practice Companion evidence for form equations</t>
  </si>
  <si>
    <t>Learner generalises interpret regions and boundaries, tests assumptions and communicates a defensible conclusion.</t>
  </si>
  <si>
    <t>NEO-MATH-Y9-077</t>
  </si>
  <si>
    <t>NEO-MATH-Y9-06</t>
  </si>
  <si>
    <t>Formulae and Rearranging: Changing the Subject</t>
  </si>
  <si>
    <t>NEO-MATH-Y10-073</t>
  </si>
  <si>
    <t>Qualification translation: Interpret intersections</t>
  </si>
  <si>
    <t>How might an assessed question disguise interpret intersections?</t>
  </si>
  <si>
    <t>Annotated question translation for interpret intersections</t>
  </si>
  <si>
    <t>NEO-MATH-Y10-074</t>
  </si>
  <si>
    <t>Mastery checkpoint: Check solutions</t>
  </si>
  <si>
    <t>What can I now explain, apply and check about check solutions?</t>
  </si>
  <si>
    <t>Connect &amp; notice: Substitute into formulae</t>
  </si>
  <si>
    <t>Two-Condition Modelling Task</t>
  </si>
  <si>
    <t>What do I already notice about substitute into formulae?</t>
  </si>
  <si>
    <t>substitute into formulae</t>
  </si>
  <si>
    <t>Formula Balance and Subject Switcher</t>
  </si>
  <si>
    <t>NEO-MATH-Y10-075</t>
  </si>
  <si>
    <t>Formulae and Rearranging: Changing the Subject – substitute into formulae</t>
  </si>
  <si>
    <t>Scratchpad prediction or notice about substitute into formulae</t>
  </si>
  <si>
    <t>Learner can substitute into formulae and give a reason or check.</t>
  </si>
  <si>
    <t>NC KS3; 4MA1 2.3</t>
  </si>
  <si>
    <t>Assessment translation 2: Solve simultaneous equations</t>
  </si>
  <si>
    <t>How might a qualification question hide the need to solve simultaneous equations?</t>
  </si>
  <si>
    <t>translate assessed wording into the canonical move: solve simultaneous equations</t>
  </si>
  <si>
    <t>NEO-MATH-Y9-078</t>
  </si>
  <si>
    <t>4MA1-style mixed questions: solve simultaneous equations</t>
  </si>
  <si>
    <t>Annotated assessed-world question showing givens, goal, route and check for solve simultaneous equations</t>
  </si>
  <si>
    <t>Learner identifies the mathematics, selects a route and checks a solution involving solve simultaneous equations.</t>
  </si>
  <si>
    <t>Build the idea: Rearrange simple formulae</t>
  </si>
  <si>
    <t>What does rearrange simple formulae mean before I use a procedure?</t>
  </si>
  <si>
    <t>rearrange simple formulae</t>
  </si>
  <si>
    <t>Formulae and Rearranging: Changing the Subject – rearrange simple formulae</t>
  </si>
  <si>
    <t>Annotated representation of rearrange simple formulae</t>
  </si>
  <si>
    <t>Learner can rearrange simple formulae and give a reason or check.</t>
  </si>
  <si>
    <t>NEO-MATH-Y10-076</t>
  </si>
  <si>
    <t>Evidence and next step: Equations, Inequalities and Simultaneous Relationships</t>
  </si>
  <si>
    <t>NEO-MATH-Y9-079</t>
  </si>
  <si>
    <t>Reconnection: Substitution</t>
  </si>
  <si>
    <t>Branch triggered when substitute values into expressions and formulae is not yet secure enough for the current unit.</t>
  </si>
  <si>
    <t>Substitution targeted practice</t>
  </si>
  <si>
    <t>Short reconnection evidence: substitute values into expressions and formulae</t>
  </si>
  <si>
    <t>Learner can substitute values into expressions and formulae sufficiently to return to Formulae and Rearranging: Changing the Subject.</t>
  </si>
  <si>
    <t>NEO-MATH-Y10-077</t>
  </si>
  <si>
    <t>Not 'catch-up'. A targeted route from Year 8 learning that reconnects the learner to NEO-MATH-Y9-06.</t>
  </si>
  <si>
    <t>NEO-MATH-Y10-06</t>
  </si>
  <si>
    <t>Pythagoras, Trigonometry and Measuring the Unreachable</t>
  </si>
  <si>
    <t>NEO-MATH-Y9-080</t>
  </si>
  <si>
    <t>Connect &amp; notice: Use Pythagoras</t>
  </si>
  <si>
    <t>What do I already notice about use Pythagoras?</t>
  </si>
  <si>
    <t>use Pythagoras</t>
  </si>
  <si>
    <t>Represent it: Use inverse operations</t>
  </si>
  <si>
    <t>How can I show use inverse operations in more than one way?</t>
  </si>
  <si>
    <t>use inverse operations</t>
  </si>
  <si>
    <t>Triangle Reveal Explorer</t>
  </si>
  <si>
    <t>Pythagoras, Trigonometry and Measuring the Unreachable – use Pythagoras</t>
  </si>
  <si>
    <t>Scratchpad prediction or notice about use Pythagoras</t>
  </si>
  <si>
    <t>Learner can use Pythagoras and give a reason or check.</t>
  </si>
  <si>
    <t>Formulae and Rearranging: Changing the Subject – use inverse operations</t>
  </si>
  <si>
    <t>Pearson Edexcel 4MA1 4.4, 4.8</t>
  </si>
  <si>
    <t>Annotated representation of use inverse operations</t>
  </si>
  <si>
    <t>High spatial</t>
  </si>
  <si>
    <t>Learner can use inverse operations and give a reason or check.</t>
  </si>
  <si>
    <t>NEO-MATH-Y10-078</t>
  </si>
  <si>
    <t>NEO-MATH-Y9-081</t>
  </si>
  <si>
    <t>Try one change: Make a chosen subject</t>
  </si>
  <si>
    <t>What changes when I adjust one part of make a chosen subject?</t>
  </si>
  <si>
    <t>make a chosen subject</t>
  </si>
  <si>
    <t>Build the idea: Choose sine, cosine or tangent</t>
  </si>
  <si>
    <t>What does choose sine, cosine or tangent mean before I use a procedure?</t>
  </si>
  <si>
    <t>choose sine, cosine or tangent</t>
  </si>
  <si>
    <t>Formulae and Rearranging: Changing the Subject – make a chosen subject</t>
  </si>
  <si>
    <t>Annotated representation of make a chosen subject</t>
  </si>
  <si>
    <t>Learner can make a chosen subject and give a reason or check.</t>
  </si>
  <si>
    <t>Pythagoras, Trigonometry and Measuring the Unreachable – choose sine, cosine or tangent</t>
  </si>
  <si>
    <t>Annotated representation of choose sine, cosine or tangent</t>
  </si>
  <si>
    <t>Learner can choose sine, cosine or tangent and give a reason or check.</t>
  </si>
  <si>
    <t>NEO-MATH-Y9-082</t>
  </si>
  <si>
    <t>Connect ideas: Form and verify formulae</t>
  </si>
  <si>
    <t>How does form and verify formulae connect to the earlier relationship?</t>
  </si>
  <si>
    <t>form and verify formulae</t>
  </si>
  <si>
    <t>NEO-MATH-Y10-079</t>
  </si>
  <si>
    <t>Formulae and Rearranging: Changing the Subject – form and verify formulae</t>
  </si>
  <si>
    <t>Annotated representation of form and verify formulae</t>
  </si>
  <si>
    <t>Learner can form and verify formulae and give a reason or check.</t>
  </si>
  <si>
    <t>Represent it: Solve right triangles</t>
  </si>
  <si>
    <t>How can I show solve right triangles in more than one way?</t>
  </si>
  <si>
    <t>solve right triangles</t>
  </si>
  <si>
    <t>NEO-MATH-Y9-083</t>
  </si>
  <si>
    <t>Pythagoras, Trigonometry and Measuring the Unreachable – solve right triangles</t>
  </si>
  <si>
    <t>Annotated representation of solve right triangles</t>
  </si>
  <si>
    <t>Learner can solve right triangles and give a reason or check.</t>
  </si>
  <si>
    <t>Learner can solve linear equations using inverse operations sufficiently to return to Formulae and Rearranging: Changing the Subject.</t>
  </si>
  <si>
    <t>NEO-MATH-Y10-080</t>
  </si>
  <si>
    <t>NEO-MATH-Y9-084</t>
  </si>
  <si>
    <t>Repair a misconception: Substitute into formulae</t>
  </si>
  <si>
    <t>What tempting mistake can substitute into formulae create?</t>
  </si>
  <si>
    <t>Corrected misconception note: substitute into formulae</t>
  </si>
  <si>
    <t>Learner can use angle facts around points, lines and triangles sufficiently to return to Pythagoras, Trigonometry and Measuring the Unreachable.</t>
  </si>
  <si>
    <t>NEO-MATH-Y9-085</t>
  </si>
  <si>
    <t>Not 'catch-up'. A targeted route from Year 7 learning that reconnects the learner to NEO-MATH-Y10-06.</t>
  </si>
  <si>
    <t>Apply in context: Rearrange simple formulae</t>
  </si>
  <si>
    <t>Where might rearrange simple formulae help with a real decision?</t>
  </si>
  <si>
    <t>NEO-MATH-Y10-081</t>
  </si>
  <si>
    <t>Short contextual application of rearrange simple formulae</t>
  </si>
  <si>
    <t>Try one change: Interpret bearings and elevation</t>
  </si>
  <si>
    <t>What changes when I adjust one part of interpret bearings and elevation?</t>
  </si>
  <si>
    <t>interpret bearings and elevation</t>
  </si>
  <si>
    <t>NEO-MATH-Y9-086</t>
  </si>
  <si>
    <t>Pythagoras, Trigonometry and Measuring the Unreachable – interpret bearings and elevation</t>
  </si>
  <si>
    <t>Annotated representation of interpret bearings and elevation</t>
  </si>
  <si>
    <t>Learner can interpret bearings and elevation and give a reason or check.</t>
  </si>
  <si>
    <t>Model and test: Use inverse operations</t>
  </si>
  <si>
    <t>Can I build a model using use inverse operations and test it?</t>
  </si>
  <si>
    <t>NEO-MATH-Y10-082</t>
  </si>
  <si>
    <t>Tested model using use inverse operations</t>
  </si>
  <si>
    <t>Connect ideas: Use units and accuracy</t>
  </si>
  <si>
    <t>How does use units and accuracy connect to the earlier relationship?</t>
  </si>
  <si>
    <t>use units and accuracy</t>
  </si>
  <si>
    <t>NEO-MATH-Y9-087</t>
  </si>
  <si>
    <t>Reconnection: Estimate before calculate</t>
  </si>
  <si>
    <t>Pythagoras, Trigonometry and Measuring the Unreachable – use units and accuracy</t>
  </si>
  <si>
    <t>Annotated representation of use units and accuracy</t>
  </si>
  <si>
    <t>Learner can use units and accuracy and give a reason or check.</t>
  </si>
  <si>
    <t>Branch triggered when use estimation to judge reasonableness is not yet secure enough for the current unit.</t>
  </si>
  <si>
    <t>Estimate before calculate targeted practice</t>
  </si>
  <si>
    <t>Short reconnection evidence: use estimation to judge reasonableness</t>
  </si>
  <si>
    <t>Learner can use estimation to judge reasonableness sufficiently to return to Formulae and Rearranging: Changing the Subject.</t>
  </si>
  <si>
    <t>Not 'catch-up'. A targeted route from Flexible learning that reconnects the learner to NEO-MATH-Y9-06.</t>
  </si>
  <si>
    <t>NEO-MATH-Y10-083</t>
  </si>
  <si>
    <t>NEO-MATH-Y9-088</t>
  </si>
  <si>
    <t>Compare strategies: Make a chosen subject</t>
  </si>
  <si>
    <t>Which route through make a chosen subject is clearest or most efficient?</t>
  </si>
  <si>
    <t>Repair a misconception: Justify method</t>
  </si>
  <si>
    <t>What tempting mistake can justify method create?</t>
  </si>
  <si>
    <t>justify method</t>
  </si>
  <si>
    <t>Two-route comparison for make a chosen subject</t>
  </si>
  <si>
    <t>Pythagoras, Trigonometry and Measuring the Unreachable – justify method</t>
  </si>
  <si>
    <t>Corrected misconception note: justify method</t>
  </si>
  <si>
    <t>Learner can justify method and give a reason or check.</t>
  </si>
  <si>
    <t>NEO-MATH-Y10-084</t>
  </si>
  <si>
    <t>NEO-MATH-Y9-089</t>
  </si>
  <si>
    <t>Practice with choice: Form and verify formulae</t>
  </si>
  <si>
    <t>Apply in context: Use Pythagoras</t>
  </si>
  <si>
    <t>Can I use form and verify formulae without being told the method?</t>
  </si>
  <si>
    <t>Where might use Pythagoras help with a real decision?</t>
  </si>
  <si>
    <t>Practice Companion evidence for form and verify formulae</t>
  </si>
  <si>
    <t>Short contextual application of use Pythagoras</t>
  </si>
  <si>
    <t>NEO-MATH-Y9-090</t>
  </si>
  <si>
    <t>Mastery checkpoint: Substitute into formulae</t>
  </si>
  <si>
    <t>NEO-MATH-Y10-085</t>
  </si>
  <si>
    <t>What can I now explain, apply and check about substitute into formulae?</t>
  </si>
  <si>
    <t>Formula Model Card</t>
  </si>
  <si>
    <t>Model and test: Choose sine, cosine or tangent</t>
  </si>
  <si>
    <t>Can I build a model using choose sine, cosine or tangent and test it?</t>
  </si>
  <si>
    <t>NEO-MATH-Y9-091</t>
  </si>
  <si>
    <t>Tested model using choose sine, cosine or tangent</t>
  </si>
  <si>
    <t>Pause, connect and strengthen: Formulae and Rearranging: Changing the Subject</t>
  </si>
  <si>
    <t>NEO-MATH-Y10-086</t>
  </si>
  <si>
    <t>Compare strategies: Solve right triangles</t>
  </si>
  <si>
    <t>Which route through solve right triangles is clearest or most efficient?</t>
  </si>
  <si>
    <t>Two-route comparison for solve right triangles</t>
  </si>
  <si>
    <t>NEO-MATH-Y9-092</t>
  </si>
  <si>
    <t>NEO-MATH-Y9-07</t>
  </si>
  <si>
    <t>Pythagoras and the Hidden Length</t>
  </si>
  <si>
    <t>Connect &amp; notice: Identify right triangles</t>
  </si>
  <si>
    <t>What do I already notice about identify right triangles?</t>
  </si>
  <si>
    <t>identify right triangles</t>
  </si>
  <si>
    <t>NEO-MATH-Y10-087</t>
  </si>
  <si>
    <t>Reflection, Movement</t>
  </si>
  <si>
    <t>Right-Triangle Length Explorer</t>
  </si>
  <si>
    <t>Pythagoras and the Hidden Length – identify right triangles</t>
  </si>
  <si>
    <t>Scratchpad prediction or notice about identify right triangles</t>
  </si>
  <si>
    <t>Learner can identify right triangles and give a reason or check.</t>
  </si>
  <si>
    <t>Assessment translation 1: Use Pythagoras</t>
  </si>
  <si>
    <t>NC KS3/KS4 bridge; 4MA1 4.8</t>
  </si>
  <si>
    <t>How might a qualification question hide the need to use Pythagoras?</t>
  </si>
  <si>
    <t>translate assessed wording into the canonical move: use Pythagoras</t>
  </si>
  <si>
    <t>NEO-MATH-Y9-093</t>
  </si>
  <si>
    <t>4MA1-style mixed questions: use Pythagoras</t>
  </si>
  <si>
    <t>Annotated assessed-world question showing givens, goal, route and check for use Pythagoras</t>
  </si>
  <si>
    <t>Learner identifies the mathematics, selects a route and checks a solution involving use Pythagoras.</t>
  </si>
  <si>
    <t>Build the idea: Use Pythagoras</t>
  </si>
  <si>
    <t>What does use Pythagoras mean before I use a procedure?</t>
  </si>
  <si>
    <t>NEO-MATH-Y10-088</t>
  </si>
  <si>
    <t>Pythagoras and the Hidden Length – use Pythagoras</t>
  </si>
  <si>
    <t>Annotated representation of use Pythagoras</t>
  </si>
  <si>
    <t>Practice with choice: Interpret bearings and elevation</t>
  </si>
  <si>
    <t>Can I use interpret bearings and elevation without being told the method?</t>
  </si>
  <si>
    <t>NEO-MATH-Y9-094</t>
  </si>
  <si>
    <t>Practice Companion evidence for interpret bearings and elevation</t>
  </si>
  <si>
    <t>NEO-MATH-Y10-089</t>
  </si>
  <si>
    <t>Learner can identify factors, multiples, primes, HCF and LCM sufficiently to return to Pythagoras and the Hidden Length.</t>
  </si>
  <si>
    <t>Qualification translation: Use units and accuracy</t>
  </si>
  <si>
    <t>How might an assessed question disguise use units and accuracy?</t>
  </si>
  <si>
    <t>Not 'catch-up'. A targeted route from Year 7 learning that reconnects the learner to NEO-MATH-Y9-07.</t>
  </si>
  <si>
    <t>NEO-MATH-Y9-095</t>
  </si>
  <si>
    <t>Annotated question translation for use units and accuracy</t>
  </si>
  <si>
    <t>Represent it: Choose the unknown side</t>
  </si>
  <si>
    <t>How can I show choose the unknown side in more than one way?</t>
  </si>
  <si>
    <t>choose the unknown side</t>
  </si>
  <si>
    <t>Pythagoras and the Hidden Length – choose the unknown side</t>
  </si>
  <si>
    <t>NEO-MATH-Y10-090</t>
  </si>
  <si>
    <t>Annotated representation of choose the unknown side</t>
  </si>
  <si>
    <t>Learner can choose the unknown side and give a reason or check.</t>
  </si>
  <si>
    <t>Mastery checkpoint: Justify method</t>
  </si>
  <si>
    <t>What can I now explain, apply and check about justify method?</t>
  </si>
  <si>
    <t>NEO-MATH-Y9-096</t>
  </si>
  <si>
    <t>Indirect Measurement Design</t>
  </si>
  <si>
    <t>Try one change: Solve contextual problems</t>
  </si>
  <si>
    <t>What changes when I adjust one part of solve contextual problems?</t>
  </si>
  <si>
    <t>solve contextual problems</t>
  </si>
  <si>
    <t>Pythagoras and the Hidden Length – solve contextual problems</t>
  </si>
  <si>
    <t>NEO-MATH-Y10-091</t>
  </si>
  <si>
    <t>Annotated representation of solve contextual problems</t>
  </si>
  <si>
    <t>Learner can solve contextual problems and give a reason or check.</t>
  </si>
  <si>
    <t>Evidence and next step: Pythagoras, Trigonometry and Measuring the Unreachable</t>
  </si>
  <si>
    <t>NEO-MATH-Y9-097</t>
  </si>
  <si>
    <t>Connect ideas: Check reasonableness and begin 3D links</t>
  </si>
  <si>
    <t>How does check reasonableness and begin 3D links connect to the earlier relationship?</t>
  </si>
  <si>
    <t>check reasonableness and begin 3D links</t>
  </si>
  <si>
    <t>Pythagoras and the Hidden Length – check reasonableness and begin 3D links</t>
  </si>
  <si>
    <t>Annotated representation of check reasonableness and begin 3D links</t>
  </si>
  <si>
    <t>Learner can check reasonableness and begin 3D links and give a reason or check.</t>
  </si>
  <si>
    <t>NEO-MATH-Y9-098</t>
  </si>
  <si>
    <t>Learner can use angle facts around points, lines and triangles sufficiently to return to Pythagoras and the Hidden Length.</t>
  </si>
  <si>
    <t>NEO-MATH-Y10-092</t>
  </si>
  <si>
    <t>NEO-MATH-Y10-07</t>
  </si>
  <si>
    <t>Frequency, Scatter and the Shape of Data</t>
  </si>
  <si>
    <t>NEO-MATH-Y9-099</t>
  </si>
  <si>
    <t>Connect &amp; notice: Construct and interpret frequency diagrams</t>
  </si>
  <si>
    <t>What do I already notice about construct and interpret frequency diagrams?</t>
  </si>
  <si>
    <t>construct and interpret frequency diagrams</t>
  </si>
  <si>
    <t>Repair a misconception: Identify right triangles</t>
  </si>
  <si>
    <t>What tempting mistake can identify right triangles create?</t>
  </si>
  <si>
    <t>Corrected misconception note: identify right triangles</t>
  </si>
  <si>
    <t>Data Display Switcher</t>
  </si>
  <si>
    <t>Evidence Lab</t>
  </si>
  <si>
    <t>Frequency, Scatter and the Shape of Data – construct and interpret frequency diagrams</t>
  </si>
  <si>
    <t>Scratchpad prediction or notice about construct and interpret frequency diagrams</t>
  </si>
  <si>
    <t>Learner can construct and interpret frequency diagrams and give a reason or check.</t>
  </si>
  <si>
    <t>NEO-MATH-Y9-100</t>
  </si>
  <si>
    <t>Pearson Edexcel 4MA1 6.1-6.2</t>
  </si>
  <si>
    <t>NEO-MATH-Y10-093</t>
  </si>
  <si>
    <t>NEO-MATH-Y9-101</t>
  </si>
  <si>
    <t>Model and test: Choose the unknown side</t>
  </si>
  <si>
    <t>Can I build a model using choose the unknown side and test it?</t>
  </si>
  <si>
    <t>Build the idea: Compare distributions</t>
  </si>
  <si>
    <t>Tested model using choose the unknown side</t>
  </si>
  <si>
    <t>What does compare distributions mean before I use a procedure?</t>
  </si>
  <si>
    <t>compare distributions</t>
  </si>
  <si>
    <t>NEO-MATH-Y9-102</t>
  </si>
  <si>
    <t>Frequency, Scatter and the Shape of Data – compare distributions</t>
  </si>
  <si>
    <t>Annotated representation of compare distributions</t>
  </si>
  <si>
    <t>Learner can compare distributions and give a reason or check.</t>
  </si>
  <si>
    <t>Compare strategies: Solve contextual problems</t>
  </si>
  <si>
    <t>Which route through solve contextual problems is clearest or most efficient?</t>
  </si>
  <si>
    <t>Two-route comparison for solve contextual problems</t>
  </si>
  <si>
    <t>NEO-MATH-Y10-094</t>
  </si>
  <si>
    <t>NEO-MATH-Y9-103</t>
  </si>
  <si>
    <t>Represent it: Use scatter graphs</t>
  </si>
  <si>
    <t>How can I show use scatter graphs in more than one way?</t>
  </si>
  <si>
    <t>Practice with choice: Check reasonableness and begin 3D links</t>
  </si>
  <si>
    <t>Can I use check reasonableness and begin 3D links without being told the method?</t>
  </si>
  <si>
    <t>use scatter graphs</t>
  </si>
  <si>
    <t>Frequency, Scatter and the Shape of Data – use scatter graphs</t>
  </si>
  <si>
    <t>Annotated representation of use scatter graphs</t>
  </si>
  <si>
    <t>Learner can use scatter graphs and give a reason or check.</t>
  </si>
  <si>
    <t>Practice Companion evidence for check reasonableness and begin 3D links</t>
  </si>
  <si>
    <t>NEO-MATH-Y9-104</t>
  </si>
  <si>
    <t>NEO-MATH-Y10-095</t>
  </si>
  <si>
    <t>Mastery checkpoint: Identify right triangles</t>
  </si>
  <si>
    <t>What can I now explain, apply and check about identify right triangles?</t>
  </si>
  <si>
    <t>Reconnection: Comparing distributions</t>
  </si>
  <si>
    <t>Branch triggered when compare centre and spread is not yet secure enough for the current unit.</t>
  </si>
  <si>
    <t>Indirect Measurement Investigation</t>
  </si>
  <si>
    <t>Comparing distributions targeted practice</t>
  </si>
  <si>
    <t>Short reconnection evidence: compare centre and spread</t>
  </si>
  <si>
    <t>Learner can compare centre and spread sufficiently to return to Frequency, Scatter and the Shape of Data.</t>
  </si>
  <si>
    <t>NEO-MATH-Y9-105</t>
  </si>
  <si>
    <t>Not 'catch-up'. A targeted route from Year 8 learning that reconnects the learner to NEO-MATH-Y10-07.</t>
  </si>
  <si>
    <t>Pause, connect and strengthen: Pythagoras and the Hidden Length</t>
  </si>
  <si>
    <t>NEO-MATH-Y10-096</t>
  </si>
  <si>
    <t>Try one change: Interpret correlation</t>
  </si>
  <si>
    <t>What changes when I adjust one part of interpret correlation?</t>
  </si>
  <si>
    <t>interpret correlation</t>
  </si>
  <si>
    <t>Frequency, Scatter and the Shape of Data – interpret correlation</t>
  </si>
  <si>
    <t>Annotated representation of interpret correlation</t>
  </si>
  <si>
    <t>NEO-MATH-Y9-106</t>
  </si>
  <si>
    <t>Learner can interpret correlation and give a reason or check.</t>
  </si>
  <si>
    <t>Open inquiry: Indirect Measurement Investigation</t>
  </si>
  <si>
    <t>How far can I take check reasonableness and begin 3D links when I choose the model or context?</t>
  </si>
  <si>
    <t>generalise and apply check reasonableness and begin 3D links in a learner-selected or unfamiliar context</t>
  </si>
  <si>
    <t>NEO-MATH-Y10-097</t>
  </si>
  <si>
    <t>Connect ideas: Choose averages</t>
  </si>
  <si>
    <t>Learner generalises check reasonableness and begin 3D links, tests assumptions and communicates a defensible conclusion.</t>
  </si>
  <si>
    <t>How does choose averages connect to the earlier relationship?</t>
  </si>
  <si>
    <t>choose averages</t>
  </si>
  <si>
    <t>Frequency, Scatter and the Shape of Data – choose averages</t>
  </si>
  <si>
    <t>Annotated representation of choose averages</t>
  </si>
  <si>
    <t>Learner can choose averages and give a reason or check.</t>
  </si>
  <si>
    <t>NEO-MATH-Y9-107</t>
  </si>
  <si>
    <t>NEO-MATH-Y9-08</t>
  </si>
  <si>
    <t>Similarity and Scale: Same Shape, New Size</t>
  </si>
  <si>
    <t>Connect &amp; notice: Recognise similar figures</t>
  </si>
  <si>
    <t>What do I already notice about recognise similar figures?</t>
  </si>
  <si>
    <t>recognise similar figures</t>
  </si>
  <si>
    <t>NEO-MATH-Y10-098</t>
  </si>
  <si>
    <t>Movement, Creativity</t>
  </si>
  <si>
    <t>Similarity Zoom Lab</t>
  </si>
  <si>
    <t>Similarity and Scale: Same Shape, New Size – recognise similar figures</t>
  </si>
  <si>
    <t>Scratchpad prediction or notice about recognise similar figures</t>
  </si>
  <si>
    <t>Learner can recognise similar figures and give a reason or check.</t>
  </si>
  <si>
    <t>Repair a misconception: Critique graphical claims</t>
  </si>
  <si>
    <t>NC KS3; 4MA1 4.11; FS L2</t>
  </si>
  <si>
    <t>What tempting mistake can critique graphical claims create?</t>
  </si>
  <si>
    <t>critique graphical claims</t>
  </si>
  <si>
    <t>NEO-MATH-Y9-108</t>
  </si>
  <si>
    <t>Frequency, Scatter and the Shape of Data – critique graphical claims</t>
  </si>
  <si>
    <t>Corrected misconception note: critique graphical claims</t>
  </si>
  <si>
    <t>Learner can critique graphical claims and give a reason or check.</t>
  </si>
  <si>
    <t>Build the idea: Use length scale factors</t>
  </si>
  <si>
    <t>What does use length scale factors mean before I use a procedure?</t>
  </si>
  <si>
    <t>use length scale factors</t>
  </si>
  <si>
    <t>Similarity and Scale: Same Shape, New Size – use length scale factors</t>
  </si>
  <si>
    <t>Annotated representation of use length scale factors</t>
  </si>
  <si>
    <t>Learner can use length scale factors and give a reason or check.</t>
  </si>
  <si>
    <t>NEO-MATH-Y10-099</t>
  </si>
  <si>
    <t>NEO-MATH-Y9-109</t>
  </si>
  <si>
    <t>Apply in context: Construct and interpret frequency diagrams</t>
  </si>
  <si>
    <t>Where might construct and interpret frequency diagrams help with a real decision?</t>
  </si>
  <si>
    <t>Reconnection: Equivalent ratios</t>
  </si>
  <si>
    <t>Branch triggered when recognise and simplify equivalent ratios is not yet secure enough for the current unit.</t>
  </si>
  <si>
    <t>Short contextual application of construct and interpret frequency diagrams</t>
  </si>
  <si>
    <t>NEO-MATH-Y10-100</t>
  </si>
  <si>
    <t>Equivalent ratios targeted practice</t>
  </si>
  <si>
    <t>Short reconnection evidence: recognise and simplify equivalent ratios</t>
  </si>
  <si>
    <t>Model and test: Compare distributions</t>
  </si>
  <si>
    <t>Learner can recognise and simplify equivalent ratios sufficiently to return to Similarity and Scale: Same Shape, New Size.</t>
  </si>
  <si>
    <t>Can I build a model using compare distributions and test it?</t>
  </si>
  <si>
    <t>Tested model using compare distributions</t>
  </si>
  <si>
    <t>Not 'catch-up'. A targeted route from Year 7 learning that reconnects the learner to NEO-MATH-Y9-08.</t>
  </si>
  <si>
    <t>NEO-MATH-Y10-101</t>
  </si>
  <si>
    <t>NEO-MATH-Y9-110</t>
  </si>
  <si>
    <t>Compare strategies: Use scatter graphs</t>
  </si>
  <si>
    <t>Which route through use scatter graphs is clearest or most efficient?</t>
  </si>
  <si>
    <t>Represent it: Solve missing lengths</t>
  </si>
  <si>
    <t>How can I show solve missing lengths in more than one way?</t>
  </si>
  <si>
    <t>Two-route comparison for use scatter graphs</t>
  </si>
  <si>
    <t>solve missing lengths</t>
  </si>
  <si>
    <t>Similarity and Scale: Same Shape, New Size – solve missing lengths</t>
  </si>
  <si>
    <t>Annotated representation of solve missing lengths</t>
  </si>
  <si>
    <t>NEO-MATH-Y10-102</t>
  </si>
  <si>
    <t>Learner can solve missing lengths and give a reason or check.</t>
  </si>
  <si>
    <t>Assessment translation 1: Construct and interpret frequency diagrams</t>
  </si>
  <si>
    <t>How might a qualification question hide the need to construct and interpret frequency diagrams?</t>
  </si>
  <si>
    <t>translate assessed wording into the canonical move: construct and interpret frequency diagrams</t>
  </si>
  <si>
    <t>NEO-MATH-Y9-111</t>
  </si>
  <si>
    <t>Try one change: Interpret maps and scale</t>
  </si>
  <si>
    <t>4MA1-style mixed questions: construct and interpret frequency diagrams</t>
  </si>
  <si>
    <t>What changes when I adjust one part of interpret maps and scale?</t>
  </si>
  <si>
    <t>interpret maps and scale</t>
  </si>
  <si>
    <t>Annotated assessed-world question showing givens, goal, route and check for construct and interpret frequency diagrams</t>
  </si>
  <si>
    <t>Learner identifies the mathematics, selects a route and checks a solution involving construct and interpret frequency diagrams.</t>
  </si>
  <si>
    <t>Similarity and Scale: Same Shape, New Size – interpret maps and scale</t>
  </si>
  <si>
    <t>Annotated representation of interpret maps and scale</t>
  </si>
  <si>
    <t>Learner can interpret maps and scale and give a reason or check.</t>
  </si>
  <si>
    <t>NEO-MATH-Y10-103</t>
  </si>
  <si>
    <t>NEO-MATH-Y9-112</t>
  </si>
  <si>
    <t>Practice with choice: Interpret correlation</t>
  </si>
  <si>
    <t>Can I use interpret correlation without being told the method?</t>
  </si>
  <si>
    <t>Connect ideas: Explore area scale factor</t>
  </si>
  <si>
    <t>How does explore area scale factor connect to the earlier relationship?</t>
  </si>
  <si>
    <t>explore area scale factor</t>
  </si>
  <si>
    <t>Practice Companion evidence for interpret correlation</t>
  </si>
  <si>
    <t>Similarity and Scale: Same Shape, New Size – explore area scale factor</t>
  </si>
  <si>
    <t>Annotated representation of explore area scale factor</t>
  </si>
  <si>
    <t>Learner can explore area scale factor and give a reason or check.</t>
  </si>
  <si>
    <t>NEO-MATH-Y10-104</t>
  </si>
  <si>
    <t>NEO-MATH-Y9-113</t>
  </si>
  <si>
    <t>Reconnection: Scale factors</t>
  </si>
  <si>
    <t>Qualification translation: Choose averages</t>
  </si>
  <si>
    <t>How might an assessed question disguise choose averages?</t>
  </si>
  <si>
    <t>Branch triggered when identify and use scale factors is not yet secure enough for the current unit.</t>
  </si>
  <si>
    <t>Scale factors targeted practice</t>
  </si>
  <si>
    <t>Short reconnection evidence: identify and use scale factors</t>
  </si>
  <si>
    <t>Learner can identify and use scale factors sufficiently to return to Similarity and Scale: Same Shape, New Size.</t>
  </si>
  <si>
    <t>Annotated question translation for choose averages</t>
  </si>
  <si>
    <t>NEO-MATH-Y9-114</t>
  </si>
  <si>
    <t>NEO-MATH-Y10-105</t>
  </si>
  <si>
    <t>Repair a misconception: Recognise similar figures</t>
  </si>
  <si>
    <t>What tempting mistake can recognise similar figures create?</t>
  </si>
  <si>
    <t>Corrected misconception note: recognise similar figures</t>
  </si>
  <si>
    <t>Mastery checkpoint: Critique graphical claims</t>
  </si>
  <si>
    <t>What can I now explain, apply and check about critique graphical claims?</t>
  </si>
  <si>
    <t>Data Communication Brief</t>
  </si>
  <si>
    <t>NEO-MATH-Y9-115</t>
  </si>
  <si>
    <t>Apply in context: Use length scale factors</t>
  </si>
  <si>
    <t>Where might use length scale factors help with a real decision?</t>
  </si>
  <si>
    <t>NEO-MATH-Y10-106</t>
  </si>
  <si>
    <t>Short contextual application of use length scale factors</t>
  </si>
  <si>
    <t>Evidence and next step: Frequency, Scatter and the Shape of Data</t>
  </si>
  <si>
    <t>NEO-MATH-Y9-116</t>
  </si>
  <si>
    <t>Model and test: Solve missing lengths</t>
  </si>
  <si>
    <t>Can I build a model using solve missing lengths and test it?</t>
  </si>
  <si>
    <t>Tested model using solve missing lengths</t>
  </si>
  <si>
    <t>NEO-MATH-Y9-117</t>
  </si>
  <si>
    <t>NEO-MATH-Y10-107</t>
  </si>
  <si>
    <t>NEO-MATH-Y10-08</t>
  </si>
  <si>
    <t>Bounds and the Mathematics of Nearly</t>
  </si>
  <si>
    <t>Connect &amp; notice: Identify rounding intervals</t>
  </si>
  <si>
    <t>What do I already notice about identify rounding intervals?</t>
  </si>
  <si>
    <t>identify rounding intervals</t>
  </si>
  <si>
    <t>Rest</t>
  </si>
  <si>
    <t>Bounds Interval Visualiser</t>
  </si>
  <si>
    <t>Learner can find one unit then scale sufficiently to return to Similarity and Scale: Same Shape, New Size.</t>
  </si>
  <si>
    <t>Bounds and the Mathematics of Nearly – identify rounding intervals</t>
  </si>
  <si>
    <t>Scratchpad prediction or notice about identify rounding intervals</t>
  </si>
  <si>
    <t>Learner can identify rounding intervals and give a reason or check.</t>
  </si>
  <si>
    <t>Pearson Edexcel 4MA1 1.8</t>
  </si>
  <si>
    <t>Not 'catch-up'. A targeted route from Year 8 learning that reconnects the learner to NEO-MATH-Y9-08.</t>
  </si>
  <si>
    <t>NEO-MATH-Y10-108</t>
  </si>
  <si>
    <t>NEO-MATH-Y9-118</t>
  </si>
  <si>
    <t>Build the idea: Find upper and lower bounds</t>
  </si>
  <si>
    <t>What does find upper and lower bounds mean before I use a procedure?</t>
  </si>
  <si>
    <t>Compare strategies: Interpret maps and scale</t>
  </si>
  <si>
    <t>find upper and lower bounds</t>
  </si>
  <si>
    <t>Which route through interpret maps and scale is clearest or most efficient?</t>
  </si>
  <si>
    <t>Bounds and the Mathematics of Nearly – find upper and lower bounds</t>
  </si>
  <si>
    <t>Annotated representation of find upper and lower bounds</t>
  </si>
  <si>
    <t>Learner can find upper and lower bounds and give a reason or check.</t>
  </si>
  <si>
    <t>Two-route comparison for interpret maps and scale</t>
  </si>
  <si>
    <t>NEO-MATH-Y10-109</t>
  </si>
  <si>
    <t>NEO-MATH-Y9-119</t>
  </si>
  <si>
    <t>Represent it: Calculate with bounds at tier</t>
  </si>
  <si>
    <t>How can I show calculate with bounds at tier in more than one way?</t>
  </si>
  <si>
    <t>Practice with choice: Explore area scale factor</t>
  </si>
  <si>
    <t>calculate with bounds at tier</t>
  </si>
  <si>
    <t>Can I use explore area scale factor without being told the method?</t>
  </si>
  <si>
    <t>Practice Companion evidence for explore area scale factor</t>
  </si>
  <si>
    <t>Bounds and the Mathematics of Nearly – calculate with bounds at tier</t>
  </si>
  <si>
    <t>Annotated representation of calculate with bounds at tier</t>
  </si>
  <si>
    <t>Learner can calculate with bounds at tier and give a reason or check.</t>
  </si>
  <si>
    <t>NEO-MATH-Y9-120</t>
  </si>
  <si>
    <t>NEO-MATH-Y10-110</t>
  </si>
  <si>
    <t>Mastery checkpoint: Recognise similar figures</t>
  </si>
  <si>
    <t>What can I now explain, apply and check about recognise similar figures?</t>
  </si>
  <si>
    <t>Scale Model Portfolio Piece</t>
  </si>
  <si>
    <t>Learner can place value with integers and decimals sufficiently to return to Bounds and the Mathematics of Nearly.</t>
  </si>
  <si>
    <t>NEO-MATH-Y9-121</t>
  </si>
  <si>
    <t>Not 'catch-up'. A targeted route from Year 7 learning that reconnects the learner to NEO-MATH-Y10-08.</t>
  </si>
  <si>
    <t>Pause, connect and strengthen: Similarity and Scale: Same Shape, New Size</t>
  </si>
  <si>
    <t>NEO-MATH-Y10-111</t>
  </si>
  <si>
    <t>NEO-MATH-Y9-122</t>
  </si>
  <si>
    <t>Try one change: Use estimation</t>
  </si>
  <si>
    <t>What changes when I adjust one part of use estimation?</t>
  </si>
  <si>
    <t>use estimation</t>
  </si>
  <si>
    <t>Open inquiry: Scale Model Portfolio Piece</t>
  </si>
  <si>
    <t>How far can I take explore area scale factor when I choose the model or context?</t>
  </si>
  <si>
    <t>generalise and apply explore area scale factor in a learner-selected or unfamiliar context</t>
  </si>
  <si>
    <t>Bounds and the Mathematics of Nearly – use estimation</t>
  </si>
  <si>
    <t>Annotated representation of use estimation</t>
  </si>
  <si>
    <t>Learner can use estimation and give a reason or check.</t>
  </si>
  <si>
    <t>Learner generalises explore area scale factor, tests assumptions and communicates a defensible conclusion.</t>
  </si>
  <si>
    <t>NEO-MATH-Y10-112</t>
  </si>
  <si>
    <t>NEO-MATH-Y9-123</t>
  </si>
  <si>
    <t>NEO-MATH-Y9-09</t>
  </si>
  <si>
    <t>Connect ideas: Interpret tolerances</t>
  </si>
  <si>
    <t>Sampling, Bias and What We Can Infer</t>
  </si>
  <si>
    <t>How does interpret tolerances connect to the earlier relationship?</t>
  </si>
  <si>
    <t>interpret tolerances</t>
  </si>
  <si>
    <t>Connect &amp; notice: Plan a statistical enquiry</t>
  </si>
  <si>
    <t>What do I already notice about plan a statistical enquiry?</t>
  </si>
  <si>
    <t>plan a statistical enquiry</t>
  </si>
  <si>
    <t>Sampling Bias Simulator + Claim Critic</t>
  </si>
  <si>
    <t>Bounds and the Mathematics of Nearly – interpret tolerances</t>
  </si>
  <si>
    <t>Sampling, Bias and What We Can Infer – plan a statistical enquiry</t>
  </si>
  <si>
    <t>Annotated representation of interpret tolerances</t>
  </si>
  <si>
    <t>Scratchpad prediction or notice about plan a statistical enquiry</t>
  </si>
  <si>
    <t>Learner can plan a statistical enquiry and give a reason or check.</t>
  </si>
  <si>
    <t>Learner can interpret tolerances and give a reason or check.</t>
  </si>
  <si>
    <t>NC KS3; 4MA1 6.1-6.2</t>
  </si>
  <si>
    <t>NEO-MATH-Y9-124</t>
  </si>
  <si>
    <t>NEO-MATH-Y10-113</t>
  </si>
  <si>
    <t>Build the idea: Recognise bias</t>
  </si>
  <si>
    <t>What does recognise bias mean before I use a procedure?</t>
  </si>
  <si>
    <t>recognise bias</t>
  </si>
  <si>
    <t>Repair a misconception: Communicate accuracy</t>
  </si>
  <si>
    <t>What tempting mistake can communicate accuracy create?</t>
  </si>
  <si>
    <t>communicate accuracy</t>
  </si>
  <si>
    <t>Sampling, Bias and What We Can Infer – recognise bias</t>
  </si>
  <si>
    <t>Annotated representation of recognise bias</t>
  </si>
  <si>
    <t>Learner can recognise bias and give a reason or check.</t>
  </si>
  <si>
    <t>Bounds and the Mathematics of Nearly – communicate accuracy</t>
  </si>
  <si>
    <t>Corrected misconception note: communicate accuracy</t>
  </si>
  <si>
    <t>Learner can communicate accuracy and give a reason or check.</t>
  </si>
  <si>
    <t>NEO-MATH-Y9-125</t>
  </si>
  <si>
    <t>Reconnection: Averages and range</t>
  </si>
  <si>
    <t>NEO-MATH-Y10-114</t>
  </si>
  <si>
    <t>Branch triggered when calculate and interpret mean, median, mode and range is not yet secure enough for the current unit.</t>
  </si>
  <si>
    <t>Averages and range targeted practice</t>
  </si>
  <si>
    <t>Short reconnection evidence: calculate and interpret mean, median, mode and range</t>
  </si>
  <si>
    <t>Learner can calculate and interpret mean, median, mode and range sufficiently to return to Sampling, Bias and What We Can Infer.</t>
  </si>
  <si>
    <t>Apply in context: Identify rounding intervals</t>
  </si>
  <si>
    <t>Where might identify rounding intervals help with a real decision?</t>
  </si>
  <si>
    <t>Not 'catch-up'. A targeted route from Year 7 learning that reconnects the learner to NEO-MATH-Y9-09.</t>
  </si>
  <si>
    <t>Short contextual application of identify rounding intervals</t>
  </si>
  <si>
    <t>NEO-MATH-Y9-126</t>
  </si>
  <si>
    <t>Represent it: Choose samples</t>
  </si>
  <si>
    <t>How can I show choose samples in more than one way?</t>
  </si>
  <si>
    <t>choose samples</t>
  </si>
  <si>
    <t>NEO-MATH-Y10-115</t>
  </si>
  <si>
    <t>Sampling, Bias and What We Can Infer – choose samples</t>
  </si>
  <si>
    <t>Annotated representation of choose samples</t>
  </si>
  <si>
    <t>Learner can choose samples and give a reason or check.</t>
  </si>
  <si>
    <t>Model and test: Find upper and lower bounds</t>
  </si>
  <si>
    <t>Can I build a model using find upper and lower bounds and test it?</t>
  </si>
  <si>
    <t>NEO-MATH-Y9-127</t>
  </si>
  <si>
    <t>Tested model using find upper and lower bounds</t>
  </si>
  <si>
    <t>Try one change: Group and represent data</t>
  </si>
  <si>
    <t>What changes when I adjust one part of group and represent data?</t>
  </si>
  <si>
    <t>group and represent data</t>
  </si>
  <si>
    <t>Sampling, Bias and What We Can Infer – group and represent data</t>
  </si>
  <si>
    <t>Annotated representation of group and represent data</t>
  </si>
  <si>
    <t>Learner can group and represent data and give a reason or check.</t>
  </si>
  <si>
    <t>NEO-MATH-Y10-116</t>
  </si>
  <si>
    <t>NEO-MATH-Y9-128</t>
  </si>
  <si>
    <t>Compare strategies: Calculate with bounds at tier</t>
  </si>
  <si>
    <t>Which route through calculate with bounds at tier is clearest or most efficient?</t>
  </si>
  <si>
    <t>Connect ideas: Interpret scatter and correlation</t>
  </si>
  <si>
    <t>How does interpret scatter and correlation connect to the earlier relationship?</t>
  </si>
  <si>
    <t>interpret scatter and correlation</t>
  </si>
  <si>
    <t>Two-route comparison for calculate with bounds at tier</t>
  </si>
  <si>
    <t>Sampling, Bias and What We Can Infer – interpret scatter and correlation</t>
  </si>
  <si>
    <t>Annotated representation of interpret scatter and correlation</t>
  </si>
  <si>
    <t>Learner can interpret scatter and correlation and give a reason or check.</t>
  </si>
  <si>
    <t>NEO-MATH-Y10-117</t>
  </si>
  <si>
    <t>NEO-MATH-Y9-129</t>
  </si>
  <si>
    <t>Assessment translation 1: Identify rounding intervals</t>
  </si>
  <si>
    <t>How might a qualification question hide the need to identify rounding intervals?</t>
  </si>
  <si>
    <t>Learner can compare centre and spread sufficiently to return to Sampling, Bias and What We Can Infer.</t>
  </si>
  <si>
    <t>translate assessed wording into the canonical move: identify rounding intervals</t>
  </si>
  <si>
    <t>Not 'catch-up'. A targeted route from Year 8 learning that reconnects the learner to NEO-MATH-Y9-09.</t>
  </si>
  <si>
    <t>4MA1-style mixed questions: identify rounding intervals</t>
  </si>
  <si>
    <t>NEO-MATH-Y9-130</t>
  </si>
  <si>
    <t>Annotated assessed-world question showing givens, goal, route and check for identify rounding intervals</t>
  </si>
  <si>
    <t>Learner identifies the mathematics, selects a route and checks a solution involving identify rounding intervals.</t>
  </si>
  <si>
    <t>Repair a misconception: Critique inference</t>
  </si>
  <si>
    <t>What tempting mistake can critique inference create?</t>
  </si>
  <si>
    <t>critique inference</t>
  </si>
  <si>
    <t>NEO-MATH-Y10-118</t>
  </si>
  <si>
    <t>Sampling, Bias and What We Can Infer – critique inference</t>
  </si>
  <si>
    <t>Corrected misconception note: critique inference</t>
  </si>
  <si>
    <t>Learner can critique inference and give a reason or check.</t>
  </si>
  <si>
    <t>Practice with choice: Use estimation</t>
  </si>
  <si>
    <t>Can I use use estimation without being told the method?</t>
  </si>
  <si>
    <t>NEO-MATH-Y9-131</t>
  </si>
  <si>
    <t>Practice Companion evidence for use estimation</t>
  </si>
  <si>
    <t>Apply in context: Plan a statistical enquiry</t>
  </si>
  <si>
    <t>Where might plan a statistical enquiry help with a real decision?</t>
  </si>
  <si>
    <t>Short contextual application of plan a statistical enquiry</t>
  </si>
  <si>
    <t>NEO-MATH-Y10-119</t>
  </si>
  <si>
    <t>NEO-MATH-Y9-132</t>
  </si>
  <si>
    <t>Qualification translation: Interpret tolerances</t>
  </si>
  <si>
    <t>Model and test: Recognise bias</t>
  </si>
  <si>
    <t>How might an assessed question disguise interpret tolerances?</t>
  </si>
  <si>
    <t>Can I build a model using recognise bias and test it?</t>
  </si>
  <si>
    <t>Tested model using recognise bias</t>
  </si>
  <si>
    <t>Annotated question translation for interpret tolerances</t>
  </si>
  <si>
    <t>NEO-MATH-Y9-133</t>
  </si>
  <si>
    <t>NEO-MATH-Y10-120</t>
  </si>
  <si>
    <t>Compare strategies: Choose samples</t>
  </si>
  <si>
    <t>Which route through choose samples is clearest or most efficient?</t>
  </si>
  <si>
    <t>Mastery checkpoint: Communicate accuracy</t>
  </si>
  <si>
    <t>What can I now explain, apply and check about communicate accuracy?</t>
  </si>
  <si>
    <t>Two-route comparison for choose samples</t>
  </si>
  <si>
    <t>Tolerance and Safety Case Study</t>
  </si>
  <si>
    <t>NEO-MATH-Y9-134</t>
  </si>
  <si>
    <t>Practice with choice: Group and represent data</t>
  </si>
  <si>
    <t>Can I use group and represent data without being told the method?</t>
  </si>
  <si>
    <t>NEO-MATH-Y10-121</t>
  </si>
  <si>
    <t>Practice Companion evidence for group and represent data</t>
  </si>
  <si>
    <t>Evidence and next step: Bounds and the Mathematics of Nearly</t>
  </si>
  <si>
    <t>NEO-MATH-Y9-135</t>
  </si>
  <si>
    <t>Mastery checkpoint: Interpret scatter and correlation</t>
  </si>
  <si>
    <t>What can I now explain, apply and check about interpret scatter and correlation?</t>
  </si>
  <si>
    <t>Data Justice Investigation</t>
  </si>
  <si>
    <t>NEO-MATH-Y10-122</t>
  </si>
  <si>
    <t>NEO-MATH-Y10-09</t>
  </si>
  <si>
    <t>Quadratics: Factors, Roots and Graphs</t>
  </si>
  <si>
    <t>NEO-MATH-Y9-136</t>
  </si>
  <si>
    <t>Connect &amp; notice: Expand and factorise quadratics</t>
  </si>
  <si>
    <t>What do I already notice about expand and factorise quadratics?</t>
  </si>
  <si>
    <t>expand and factorise quadratics</t>
  </si>
  <si>
    <t>Pause, connect and strengthen: Sampling, Bias and What We Can Infer</t>
  </si>
  <si>
    <t>Root–Graph Connector</t>
  </si>
  <si>
    <t>Quadratics: Factors, Roots and Graphs – expand and factorise quadratics</t>
  </si>
  <si>
    <t>Scratchpad prediction or notice about expand and factorise quadratics</t>
  </si>
  <si>
    <t>Learner can expand and factorise quadratics and give a reason or check.</t>
  </si>
  <si>
    <t>Pearson Edexcel 4MA1 2.2, 2.7, 3.3</t>
  </si>
  <si>
    <t>NEO-MATH-Y9-137</t>
  </si>
  <si>
    <t>Open inquiry: Data Justice Investigation</t>
  </si>
  <si>
    <t>How far can I take critique inference when I choose the model or context?</t>
  </si>
  <si>
    <t>generalise and apply critique inference in a learner-selected or unfamiliar context</t>
  </si>
  <si>
    <t>NEO-MATH-Y10-123</t>
  </si>
  <si>
    <t>Build the idea: Solve by factorisation</t>
  </si>
  <si>
    <t>What does solve by factorisation mean before I use a procedure?</t>
  </si>
  <si>
    <t>solve by factorisation</t>
  </si>
  <si>
    <t>Quadratics: Factors, Roots and Graphs – solve by factorisation</t>
  </si>
  <si>
    <t>Annotated representation of solve by factorisation</t>
  </si>
  <si>
    <t>Learner can solve by factorisation and give a reason or check.</t>
  </si>
  <si>
    <t>Learner generalises critique inference, tests assumptions and communicates a defensible conclusion.</t>
  </si>
  <si>
    <t>NEO-MATH-Y10-124</t>
  </si>
  <si>
    <t>NEO-MATH-Y9-138</t>
  </si>
  <si>
    <t>NEO-MATH-Y9-10</t>
  </si>
  <si>
    <t>Probability Trees and Conditional Change</t>
  </si>
  <si>
    <t>Represent it: Connect roots and intercepts</t>
  </si>
  <si>
    <t>How can I show connect roots and intercepts in more than one way?</t>
  </si>
  <si>
    <t>connect roots and intercepts</t>
  </si>
  <si>
    <t>Connect &amp; notice: Use Venn diagrams and set language</t>
  </si>
  <si>
    <t>What do I already notice about use Venn diagrams and set language?</t>
  </si>
  <si>
    <t>use Venn diagrams and set language</t>
  </si>
  <si>
    <t>Dynamic Probability Tree</t>
  </si>
  <si>
    <t>Probability Trees and Conditional Change – use Venn diagrams and set language</t>
  </si>
  <si>
    <t>Scratchpad prediction or notice about use Venn diagrams and set language</t>
  </si>
  <si>
    <t>Learner can use Venn diagrams and set language and give a reason or check.</t>
  </si>
  <si>
    <t>Quadratics: Factors, Roots and Graphs – connect roots and intercepts</t>
  </si>
  <si>
    <t>Annotated representation of connect roots and intercepts</t>
  </si>
  <si>
    <t>NC KS3; 4MA1 1.5, 7.1</t>
  </si>
  <si>
    <t>High; branch reveal</t>
  </si>
  <si>
    <t>Learner can connect roots and intercepts and give a reason or check.</t>
  </si>
  <si>
    <t>NEO-MATH-Y9-139</t>
  </si>
  <si>
    <t>NEO-MATH-Y10-125</t>
  </si>
  <si>
    <t>Build the idea: Build tree diagrams</t>
  </si>
  <si>
    <t>What does build tree diagrams mean before I use a procedure?</t>
  </si>
  <si>
    <t>build tree diagrams</t>
  </si>
  <si>
    <t>Probability Trees and Conditional Change – build tree diagrams</t>
  </si>
  <si>
    <t>Annotated representation of build tree diagrams</t>
  </si>
  <si>
    <t>Learner can build tree diagrams and give a reason or check.</t>
  </si>
  <si>
    <t>Learner can expand single brackets sufficiently to return to Quadratics: Factors, Roots and Graphs.</t>
  </si>
  <si>
    <t>NEO-MATH-Y9-140</t>
  </si>
  <si>
    <t>Not 'catch-up'. A targeted route from Year 8 learning that reconnects the learner to NEO-MATH-Y10-09.</t>
  </si>
  <si>
    <t>Reconnection: Probability scale</t>
  </si>
  <si>
    <t>NEO-MATH-Y10-126</t>
  </si>
  <si>
    <t>Branch triggered when place and interpret probabilities from 0 to 1 is not yet secure enough for the current unit.</t>
  </si>
  <si>
    <t>Probability scale targeted practice</t>
  </si>
  <si>
    <t>Short reconnection evidence: place and interpret probabilities from 0 to 1</t>
  </si>
  <si>
    <t>Learner can place and interpret probabilities from 0 to 1 sufficiently to return to Probability Trees and Conditional Change.</t>
  </si>
  <si>
    <t>Try one change: Plot and interpret quadratics</t>
  </si>
  <si>
    <t>What changes when I adjust one part of plot and interpret quadratics?</t>
  </si>
  <si>
    <t>plot and interpret quadratics</t>
  </si>
  <si>
    <t>Not 'catch-up'. A targeted route from Year 7 learning that reconnects the learner to NEO-MATH-Y9-10.</t>
  </si>
  <si>
    <t>NEO-MATH-Y9-141</t>
  </si>
  <si>
    <t>Represent it: Calculate combined probabilities</t>
  </si>
  <si>
    <t>How can I show calculate combined probabilities in more than one way?</t>
  </si>
  <si>
    <t>calculate combined probabilities</t>
  </si>
  <si>
    <t>Probability Trees and Conditional Change – calculate combined probabilities</t>
  </si>
  <si>
    <t>Annotated representation of calculate combined probabilities</t>
  </si>
  <si>
    <t>Learner can calculate combined probabilities and give a reason or check.</t>
  </si>
  <si>
    <t>Quadratics: Factors, Roots and Graphs – plot and interpret quadratics</t>
  </si>
  <si>
    <t>NEO-MATH-Y9-142</t>
  </si>
  <si>
    <t>Annotated representation of plot and interpret quadratics</t>
  </si>
  <si>
    <t>Learner can plot and interpret quadratics and give a reason or check.</t>
  </si>
  <si>
    <t>Try one change: Compare independent and dependent situations</t>
  </si>
  <si>
    <t>What changes when I adjust one part of compare independent and dependent situations?</t>
  </si>
  <si>
    <t>compare independent and dependent situations</t>
  </si>
  <si>
    <t>NEO-MATH-Y10-127</t>
  </si>
  <si>
    <t>Probability Trees and Conditional Change – compare independent and dependent situations</t>
  </si>
  <si>
    <t>Annotated representation of compare independent and dependent situations</t>
  </si>
  <si>
    <t>Learner can compare independent and dependent situations and give a reason or check.</t>
  </si>
  <si>
    <t>Connect ideas: Form simple quadratic models</t>
  </si>
  <si>
    <t>How does form simple quadratic models connect to the earlier relationship?</t>
  </si>
  <si>
    <t>form simple quadratic models</t>
  </si>
  <si>
    <t>NEO-MATH-Y9-143</t>
  </si>
  <si>
    <t>Quadratics: Factors, Roots and Graphs – form simple quadratic models</t>
  </si>
  <si>
    <t>Annotated representation of form simple quadratic models</t>
  </si>
  <si>
    <t>Connect ideas: Compare experimental and theoretical probability</t>
  </si>
  <si>
    <t>Learner can form simple quadratic models and give a reason or check.</t>
  </si>
  <si>
    <t>How does compare experimental and theoretical probability connect to the earlier relationship?</t>
  </si>
  <si>
    <t>compare experimental and theoretical probability</t>
  </si>
  <si>
    <t>Probability Trees and Conditional Change – compare experimental and theoretical probability</t>
  </si>
  <si>
    <t>Annotated representation of compare experimental and theoretical probability</t>
  </si>
  <si>
    <t>Learner can compare experimental and theoretical probability and give a reason or check.</t>
  </si>
  <si>
    <t>NEO-MATH-Y10-128</t>
  </si>
  <si>
    <t>NEO-MATH-Y9-144</t>
  </si>
  <si>
    <t>Repair a misconception: Compare methods</t>
  </si>
  <si>
    <t>What tempting mistake can compare methods create?</t>
  </si>
  <si>
    <t>compare methods</t>
  </si>
  <si>
    <t>Reconnection: Sample spaces</t>
  </si>
  <si>
    <t>Branch triggered when enumerate outcomes and calculate probabilities is not yet secure enough for the current unit.</t>
  </si>
  <si>
    <t>Sample spaces targeted practice</t>
  </si>
  <si>
    <t>Short reconnection evidence: enumerate outcomes and calculate probabilities</t>
  </si>
  <si>
    <t>Learner can enumerate outcomes and calculate probabilities sufficiently to return to Probability Trees and Conditional Change.</t>
  </si>
  <si>
    <t>Quadratics: Factors, Roots and Graphs – compare methods</t>
  </si>
  <si>
    <t>Corrected misconception note: compare methods</t>
  </si>
  <si>
    <t>Not 'catch-up'. A targeted route from Year 8 learning that reconnects the learner to NEO-MATH-Y9-10.</t>
  </si>
  <si>
    <t>Learner can compare methods and give a reason or check.</t>
  </si>
  <si>
    <t>NEO-MATH-Y9-145</t>
  </si>
  <si>
    <t>Repair a misconception: Use Venn diagrams and set language</t>
  </si>
  <si>
    <t>What tempting mistake can use Venn diagrams and set language create?</t>
  </si>
  <si>
    <t>NEO-MATH-Y10-129</t>
  </si>
  <si>
    <t>Corrected misconception note: use Venn diagrams and set language</t>
  </si>
  <si>
    <t>Apply in context: Expand and factorise quadratics</t>
  </si>
  <si>
    <t>Where might expand and factorise quadratics help with a real decision?</t>
  </si>
  <si>
    <t>NEO-MATH-Y9-146</t>
  </si>
  <si>
    <t>Short contextual application of expand and factorise quadratics</t>
  </si>
  <si>
    <t>Apply in context: Build tree diagrams</t>
  </si>
  <si>
    <t>Where might build tree diagrams help with a real decision?</t>
  </si>
  <si>
    <t>Short contextual application of build tree diagrams</t>
  </si>
  <si>
    <t>NEO-MATH-Y10-130</t>
  </si>
  <si>
    <t>Model and test: Solve by factorisation</t>
  </si>
  <si>
    <t>NEO-MATH-Y9-147</t>
  </si>
  <si>
    <t>Can I build a model using solve by factorisation and test it?</t>
  </si>
  <si>
    <t>Model and test: Calculate combined probabilities</t>
  </si>
  <si>
    <t>Can I build a model using calculate combined probabilities and test it?</t>
  </si>
  <si>
    <t>Tested model using solve by factorisation</t>
  </si>
  <si>
    <t>Tested model using calculate combined probabilities</t>
  </si>
  <si>
    <t>NEO-MATH-Y10-131</t>
  </si>
  <si>
    <t>NEO-MATH-Y9-148</t>
  </si>
  <si>
    <t>Compare strategies: Connect roots and intercepts</t>
  </si>
  <si>
    <t>Which route through connect roots and intercepts is clearest or most efficient?</t>
  </si>
  <si>
    <t>Compare strategies: Compare independent and dependent situations</t>
  </si>
  <si>
    <t>Which route through compare independent and dependent situations is clearest or most efficient?</t>
  </si>
  <si>
    <t>Two-route comparison for connect roots and intercepts</t>
  </si>
  <si>
    <t>Two-route comparison for compare independent and dependent situations</t>
  </si>
  <si>
    <t>NEO-MATH-Y9-149</t>
  </si>
  <si>
    <t>Practice with choice: Compare experimental and theoretical probability</t>
  </si>
  <si>
    <t>Can I use compare experimental and theoretical probability without being told the method?</t>
  </si>
  <si>
    <t>NEO-MATH-Y10-132</t>
  </si>
  <si>
    <t>Practice Companion evidence for compare experimental and theoretical probability</t>
  </si>
  <si>
    <t>Assessment translation 1: Expand and factorise quadratics</t>
  </si>
  <si>
    <t>How might a qualification question hide the need to expand and factorise quadratics?</t>
  </si>
  <si>
    <t>translate assessed wording into the canonical move: expand and factorise quadratics</t>
  </si>
  <si>
    <t>NEO-MATH-Y9-150</t>
  </si>
  <si>
    <t>4MA1-style mixed questions: expand and factorise quadratics</t>
  </si>
  <si>
    <t>Annotated assessed-world question showing givens, goal, route and check for expand and factorise quadratics</t>
  </si>
  <si>
    <t>Learner identifies the mathematics, selects a route and checks a solution involving expand and factorise quadratics.</t>
  </si>
  <si>
    <t>Mastery checkpoint: Use Venn diagrams and set language</t>
  </si>
  <si>
    <t>What can I now explain, apply and check about use Venn diagrams and set language?</t>
  </si>
  <si>
    <t>Chance Model Explanation</t>
  </si>
  <si>
    <t>NEO-MATH-Y10-133</t>
  </si>
  <si>
    <t>Practice with choice: Plot and interpret quadratics</t>
  </si>
  <si>
    <t>Can I use plot and interpret quadratics without being told the method?</t>
  </si>
  <si>
    <t>NEO-MATH-Y9-151</t>
  </si>
  <si>
    <t>Practice Companion evidence for plot and interpret quadratics</t>
  </si>
  <si>
    <t>Pause, connect and strengthen: Probability Trees and Conditional Change</t>
  </si>
  <si>
    <t>NEO-MATH-Y10-134</t>
  </si>
  <si>
    <t>Qualification translation: Form simple quadratic models</t>
  </si>
  <si>
    <t>NEO-MATH-Y9-152</t>
  </si>
  <si>
    <t>How might an assessed question disguise form simple quadratic models?</t>
  </si>
  <si>
    <t>Open inquiry: Chance Model Explanation</t>
  </si>
  <si>
    <t>How far can I take compare experimental and theoretical probability when I choose the model or context?</t>
  </si>
  <si>
    <t>generalise and apply compare experimental and theoretical probability in a learner-selected or unfamiliar context</t>
  </si>
  <si>
    <t>Annotated question translation for form simple quadratic models</t>
  </si>
  <si>
    <t>Learner generalises compare experimental and theoretical probability, tests assumptions and communicates a defensible conclusion.</t>
  </si>
  <si>
    <t>NEO-MATH-Y10-135</t>
  </si>
  <si>
    <t>Mastery checkpoint: Compare methods</t>
  </si>
  <si>
    <t>What can I now explain, apply and check about compare methods?</t>
  </si>
  <si>
    <t>Quadratic Method Comparison</t>
  </si>
  <si>
    <t>NEO-MATH-Y10-136</t>
  </si>
  <si>
    <t>Assessment translation 2: Solve by factorisation</t>
  </si>
  <si>
    <t>How might a qualification question hide the need to solve by factorisation?</t>
  </si>
  <si>
    <t>translate assessed wording into the canonical move: solve by factorisation</t>
  </si>
  <si>
    <t>4MA1-style mixed questions: solve by factorisation</t>
  </si>
  <si>
    <t>Annotated assessed-world question showing givens, goal, route and check for solve by factorisation</t>
  </si>
  <si>
    <t>Learner identifies the mathematics, selects a route and checks a solution involving solve by factorisation.</t>
  </si>
  <si>
    <t>NEO-MATH-Y10-137</t>
  </si>
  <si>
    <t>Evidence and next step: Quadratics: Factors, Roots and Graphs</t>
  </si>
  <si>
    <t>NEO-MATH-Y10-138</t>
  </si>
  <si>
    <t>NEO-MATH-Y10-10</t>
  </si>
  <si>
    <t>The Connected Maths Performance Project</t>
  </si>
  <si>
    <t>Proof &amp; Communication</t>
  </si>
  <si>
    <t>Connect &amp; notice: Identify relevant mathematics</t>
  </si>
  <si>
    <t>What do I already notice about identify relevant mathematics?</t>
  </si>
  <si>
    <t>identify relevant mathematics</t>
  </si>
  <si>
    <t>Multi-Topic Model Builder</t>
  </si>
  <si>
    <t>Reasoning Studio</t>
  </si>
  <si>
    <t>Blank / context preset</t>
  </si>
  <si>
    <t>The Connected Maths Performance Project – identify relevant mathematics</t>
  </si>
  <si>
    <t>Scratchpad prediction or notice about identify relevant mathematics</t>
  </si>
  <si>
    <t>Learner can identify relevant mathematics and give a reason or check.</t>
  </si>
  <si>
    <t>4MA1 cross-domain reasoning/problem solving</t>
  </si>
  <si>
    <t>Variable</t>
  </si>
  <si>
    <t>NEO-MATH-Y10-139</t>
  </si>
  <si>
    <t>Build the idea: Connect domains</t>
  </si>
  <si>
    <t>What does connect domains mean before I use a procedure?</t>
  </si>
  <si>
    <t>connect domains</t>
  </si>
  <si>
    <t>The Connected Maths Performance Project – connect domains</t>
  </si>
  <si>
    <t>Annotated representation of connect domains</t>
  </si>
  <si>
    <t>Learner can connect domains and give a reason or check.</t>
  </si>
  <si>
    <t>NEO-MATH-Y10-140</t>
  </si>
  <si>
    <t>Represent it: Choose representations</t>
  </si>
  <si>
    <t>How can I show choose representations in more than one way?</t>
  </si>
  <si>
    <t>choose representations</t>
  </si>
  <si>
    <t>The Connected Maths Performance Project – choose representations</t>
  </si>
  <si>
    <t>Annotated representation of choose representations</t>
  </si>
  <si>
    <t>Learner can choose representations and give a reason or check.</t>
  </si>
  <si>
    <t>NEO-MATH-Y10-141</t>
  </si>
  <si>
    <t>Reconnection: Reading the question</t>
  </si>
  <si>
    <t>Branch triggered when identify givens, goal and useful information is not yet secure enough for the current unit.</t>
  </si>
  <si>
    <t>Reading the question targeted practice</t>
  </si>
  <si>
    <t>Short reconnection evidence: identify givens, goal and useful information</t>
  </si>
  <si>
    <t>Learner can identify givens, goal and useful information sufficiently to return to The Connected Maths Performance Project.</t>
  </si>
  <si>
    <t>Not 'catch-up'. A targeted route from Flexible learning that reconnects the learner to NEO-MATH-Y10-10.</t>
  </si>
  <si>
    <t>NEO-MATH-Y10-142</t>
  </si>
  <si>
    <t>Try one change: Justify a strategy</t>
  </si>
  <si>
    <t>What changes when I adjust one part of justify a strategy?</t>
  </si>
  <si>
    <t>justify a strategy</t>
  </si>
  <si>
    <t>The Connected Maths Performance Project – justify a strategy</t>
  </si>
  <si>
    <t>Annotated representation of justify a strategy</t>
  </si>
  <si>
    <t>Learner can justify a strategy and give a reason or check.</t>
  </si>
  <si>
    <t>NEO-MATH-Y10-143</t>
  </si>
  <si>
    <t>Connect ideas: Evaluate assumptions</t>
  </si>
  <si>
    <t>How does evaluate assumptions connect to the earlier relationship?</t>
  </si>
  <si>
    <t>evaluate assumptions</t>
  </si>
  <si>
    <t>The Connected Maths Performance Project – evaluate assumptions</t>
  </si>
  <si>
    <t>Annotated representation of evaluate assumptions</t>
  </si>
  <si>
    <t>Learner can evaluate assumptions and give a reason or check.</t>
  </si>
  <si>
    <t>NEO-MATH-Y10-144</t>
  </si>
  <si>
    <t>Repair a misconception: Communicate a multi-step solution</t>
  </si>
  <si>
    <t>What tempting mistake can communicate a multi-step solution create?</t>
  </si>
  <si>
    <t>communicate a multi-step solution</t>
  </si>
  <si>
    <t>The Connected Maths Performance Project – communicate a multi-step solution</t>
  </si>
  <si>
    <t>Corrected misconception note: communicate a multi-step solution</t>
  </si>
  <si>
    <t>Learner can communicate a multi-step solution and give a reason or check.</t>
  </si>
  <si>
    <t>NEO-MATH-Y10-145</t>
  </si>
  <si>
    <t>Apply in context: Identify relevant mathematics</t>
  </si>
  <si>
    <t>Where might identify relevant mathematics help with a real decision?</t>
  </si>
  <si>
    <t>Short contextual application of identify relevant mathematics</t>
  </si>
  <si>
    <t>NEO-MATH-Y10-146</t>
  </si>
  <si>
    <t>Model and test: Connect domains</t>
  </si>
  <si>
    <t>Can I build a model using connect domains and test it?</t>
  </si>
  <si>
    <t>Tested model using connect domains</t>
  </si>
  <si>
    <t>NEO-MATH-Y10-147</t>
  </si>
  <si>
    <t>Compare strategies: Choose representations</t>
  </si>
  <si>
    <t>Which route through choose representations is clearest or most efficient?</t>
  </si>
  <si>
    <t>Two-route comparison for choose representations</t>
  </si>
  <si>
    <t>NEO-MATH-Y10-148</t>
  </si>
  <si>
    <t>Assessment translation 1: Identify relevant mathematics</t>
  </si>
  <si>
    <t>How might a qualification question hide the need to identify relevant mathematics?</t>
  </si>
  <si>
    <t>translate assessed wording into the canonical move: identify relevant mathematics</t>
  </si>
  <si>
    <t>4MA1-style mixed questions: identify relevant mathematics</t>
  </si>
  <si>
    <t>Annotated assessed-world question showing givens, goal, route and check for identify relevant mathematics</t>
  </si>
  <si>
    <t>Learner identifies the mathematics, selects a route and checks a solution involving identify relevant mathematics.</t>
  </si>
  <si>
    <t>NEO-MATH-Y10-149</t>
  </si>
  <si>
    <t>Practice with choice: Justify a strategy</t>
  </si>
  <si>
    <t>Can I use justify a strategy without being told the method?</t>
  </si>
  <si>
    <t>Practice Companion evidence for justify a strategy</t>
  </si>
  <si>
    <t>NEO-MATH-Y10-150</t>
  </si>
  <si>
    <t>Qualification translation: Evaluate assumptions</t>
  </si>
  <si>
    <t>How might an assessed question disguise evaluate assumptions?</t>
  </si>
  <si>
    <t>Annotated question translation for evaluate assumptions</t>
  </si>
  <si>
    <t>NEO-MATH-Y10-151</t>
  </si>
  <si>
    <t>Mastery checkpoint: Communicate a multi-step solution</t>
  </si>
  <si>
    <t>What can I now explain, apply and check about communicate a multi-step solution?</t>
  </si>
  <si>
    <t>Year 10 Performance Project</t>
  </si>
  <si>
    <t>NEO-MATH-Y10-152</t>
  </si>
  <si>
    <t>Evidence and next step: The Connected Maths Performance Project</t>
  </si>
  <si>
    <t>Annual Capacity and Opportunity Bank Audit</t>
  </si>
  <si>
    <t>3 × 45-minute lessons per week × 38 weeks = 114 annual guided opportunities. Bank totals are not fixed delivery allocations.</t>
  </si>
  <si>
    <t>Core Bank</t>
  </si>
  <si>
    <t>Total Bank</t>
  </si>
  <si>
    <t>Planning assumption</t>
  </si>
  <si>
    <t>Lessons per week</t>
  </si>
  <si>
    <t>School weeks</t>
  </si>
  <si>
    <t>Annual guided opportunities</t>
  </si>
  <si>
    <t>Priority split and breathing room</t>
  </si>
  <si>
    <t>3 × 45-minute lessons per week</t>
  </si>
  <si>
    <t>Route</t>
  </si>
  <si>
    <t>Mapped Sessions</t>
  </si>
  <si>
    <t>Architecture Note</t>
  </si>
  <si>
    <t>Counts include core plus linked route sessions.</t>
  </si>
  <si>
    <t>Priority envelope summary (v0.3) — 3 × 45 min × 38 weeks = 114 annual opportunities</t>
  </si>
  <si>
    <t>Breathing room (114 − Essential)</t>
  </si>
  <si>
    <t>Essential = normally met by every learner. Flexible = run when lesson evidence shows the need. Reserve = triggered Reconnection Routes and optional Extension/Portfolio; all draw on the same envelope when used. The breathing room is deliberate capacity for reconnection, consolidation, assessment and disruption (GreenPrint v1.1 §3–4).</t>
  </si>
  <si>
    <t>Interactive Resource Reuse Audit — Opportunity Banks</t>
  </si>
  <si>
    <t>Bank counts guide reusable-engine production; they do not allocate a fixed number of lessons to a topic. (v0.3: formulas repointed at the opportunity-bank tabs after tab rename broke them.)</t>
  </si>
  <si>
    <t>Foundations Bank Sessions</t>
  </si>
  <si>
    <t>Intermediate Bank Sessions</t>
  </si>
  <si>
    <t>Total Sessions</t>
  </si>
  <si>
    <t>Example Interactive Resources</t>
  </si>
  <si>
    <t>Curriculum Build Implication</t>
  </si>
  <si>
    <t>Coordinate Move Studio; Gradient Explorer + Venn Set Builder; Table-to-Line Builder</t>
  </si>
  <si>
    <t>Build a reusable Dynamic Graph Lab engine with lesson-specific presets rather than a separate app for every session.</t>
  </si>
  <si>
    <t>Average as Fair-Share Simulator; Data Claim Comparator; Data Display Switcher; Dynamic Probability Tree; Probability Scale Slider</t>
  </si>
  <si>
    <t>Build a reusable Evidence Lab engine with lesson-specific presets rather than a separate app for every session.</t>
  </si>
  <si>
    <t>3D Slice and Net Explorer; Angle Chain Explorer; Angle Constraint Explorer; Fixed-Perimeter Shape Designer; Locus and Safe-Route Planner</t>
  </si>
  <si>
    <t>Build a reusable Geometry Studio engine with lesson-specific presets rather than a separate app for every session.</t>
  </si>
  <si>
    <t>Estimate First Prompt; Mastery Pathway Review; Portfolio Evidence Selector; Question Highlighter; Question Translation Studio</t>
  </si>
  <si>
    <t>Build a reusable Navigation Tool engine with lesson-specific presets rather than a separate app for every session.</t>
  </si>
  <si>
    <t>Bounds Interval Visualiser; Calculator Input Detective; Estimate–Calculate–Check Lab; Micro-to-Macro Scale Explorer; Place-Value Magnifier</t>
  </si>
  <si>
    <t>Build a reusable Number Explorer engine with lesson-specific presets rather than a separate app for every session.</t>
  </si>
  <si>
    <t>Build a reusable Reasoning Studio engine with lesson-specific presets rather than a separate app for every session.</t>
  </si>
  <si>
    <t>Growth Multiplier Lab; Recipe Scaler; Scale Factor Slider; Similarity Zoom Lab; Unit Rate Builder</t>
  </si>
  <si>
    <t>Build a reusable Scaling Lab engine with lesson-specific presets rather than a separate app for every session.</t>
  </si>
  <si>
    <t>Algebra Structure Lens; Balance Equation Simulator; Bracket Area Model; Expression Equivalence Lab; Factor Web</t>
  </si>
  <si>
    <t>Build a reusable Structure Lab engine with lesson-specific presets rather than a separate app for every session.</t>
  </si>
  <si>
    <t>Sources &amp; GreenPrint Notes</t>
  </si>
  <si>
    <t>This architecture map is a planning GreenPrint, not an approved timetable or qualification scheme of work. Review against learner needs, NEO timetable decisions and current qualification specifications before production lock.</t>
  </si>
  <si>
    <t>Source / Artifact</t>
  </si>
  <si>
    <t>Use in this workbook</t>
  </si>
  <si>
    <t>Location / URL</t>
  </si>
  <si>
    <t>Review Trigger</t>
  </si>
  <si>
    <t>Note</t>
  </si>
  <si>
    <t>NEO Mathematics Curriculum GreenPrint Running Design Record v1.1</t>
  </si>
  <si>
    <t>Current GreenPrint</t>
  </si>
  <si>
    <t>Pathway naming, 3 × 45 × 38 annual rhythm, adaptive topic counts, evidence and worked-solution rules</t>
  </si>
  <si>
    <t>NEO_Mathematics_Curriculum_GreenPrint_Running_Design_Record_v1.1.docx</t>
  </si>
  <si>
    <t>Next GreenPrint revision</t>
  </si>
  <si>
    <t>Controlling source for v0.2</t>
  </si>
  <si>
    <t>NEO Mathematics KS3–KS4 Curriculum Vault Map GreenPrint v0.1</t>
  </si>
  <si>
    <t>Working GreenPrint</t>
  </si>
  <si>
    <t>Unit IDs, pathway structure, strands, Cornerstones, tools and qualification overlay fields</t>
  </si>
  <si>
    <t>NEO_Mathematics_KS3_KS4_Curriculum_Vault_Map_GreenPrint_v0.1.xlsx</t>
  </si>
  <si>
    <t>Any unit-map revision</t>
  </si>
  <si>
    <t>Parent curriculum map</t>
  </si>
  <si>
    <t>NEO Curriculum — Intent, Implementation and Impact v0.1</t>
  </si>
  <si>
    <t>Draft / not approved</t>
  </si>
  <si>
    <t>Connection before curriculum; routes according to need; Year 9/10 launch context; Curriculum × Overlay model</t>
  </si>
  <si>
    <t>Uploaded NEO curriculum draft</t>
  </si>
  <si>
    <t>Approval or policy revision</t>
  </si>
  <si>
    <t>Confidential working source</t>
  </si>
  <si>
    <t>National curriculum in England: mathematics programmes of study</t>
  </si>
  <si>
    <t>Official programme of study</t>
  </si>
  <si>
    <t>KS3 canonical mathematical aims and content alignment</t>
  </si>
  <si>
    <t>https://www.gov.uk/government/publications/national-curriculum-in-england-mathematics-programmes-of-study</t>
  </si>
  <si>
    <t>Annual curriculum review</t>
  </si>
  <si>
    <t>Use current official version</t>
  </si>
  <si>
    <t>Pearson Edexcel International GCSE Mathematics A 4MA1</t>
  </si>
  <si>
    <t>Qualification overlay</t>
  </si>
  <si>
    <t>Year 10 qualification mapping inherited from Curriculum Vault map</t>
  </si>
  <si>
    <t>https://qualifications.pearson.com/en/qualifications/edexcel-international-gcses/international-gcse-mathematics-a-2016.html</t>
  </si>
  <si>
    <t>Annual review and before entries</t>
  </si>
  <si>
    <t>Overlay does not define canonical spine</t>
  </si>
  <si>
    <t>NEO Maths Prototype Lesson Pack v5</t>
  </si>
  <si>
    <t>Locked reference prototype</t>
  </si>
  <si>
    <t>Interactive lesson, Practice Companion, guidance layers and Scratchpad standard</t>
  </si>
  <si>
    <t>NEO_Maths_Prototype_Lesson_Pack_v5.zip</t>
  </si>
  <si>
    <t>Prototype standard revision</t>
  </si>
  <si>
    <t>Ratio and Straight-Line Graphs reference standard</t>
  </si>
  <si>
    <t>v0.3 change (18 July 2026): prioritised bank per Director decision; see Overview note.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</si>
</sst>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b/>
      <sz val="16.0"/>
      <color rgb="FFFFFFFF"/>
      <name val="Calibri"/>
    </font>
    <font/>
    <font>
      <sz val="11.0"/>
      <color rgb="FF000000"/>
      <name val="Calibri"/>
    </font>
    <font>
      <i/>
      <sz val="10.0"/>
      <color rgb="FF24342B"/>
      <name val="Calibri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mbria"/>
    </font>
    <font>
      <b/>
      <sz val="18.0"/>
      <color rgb="FFFFFFFF"/>
      <name val="Calibri"/>
    </font>
    <font>
      <i/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365F43"/>
        <bgColor rgb="FF365F43"/>
      </patternFill>
    </fill>
    <fill>
      <patternFill patternType="solid">
        <fgColor rgb="FFEAF1E6"/>
        <bgColor rgb="FFEAF1E6"/>
      </patternFill>
    </fill>
    <fill>
      <patternFill patternType="solid">
        <fgColor rgb="FF5C6B4F"/>
        <bgColor rgb="FF5C6B4F"/>
      </patternFill>
    </fill>
    <fill>
      <patternFill patternType="solid">
        <fgColor rgb="FF526943"/>
        <bgColor rgb="FF526943"/>
      </patternFill>
    </fill>
    <fill>
      <patternFill patternType="solid">
        <fgColor rgb="FFE3F0DF"/>
        <bgColor rgb="FFE3F0DF"/>
      </patternFill>
    </fill>
    <fill>
      <patternFill patternType="solid">
        <fgColor rgb="FFECECEC"/>
        <bgColor rgb="FFECECEC"/>
      </patternFill>
    </fill>
    <fill>
      <patternFill patternType="solid">
        <fgColor rgb="FFFFF1CF"/>
        <bgColor rgb="FFFFF1CF"/>
      </patternFill>
    </fill>
    <fill>
      <patternFill patternType="solid">
        <fgColor rgb="FF3F5F45"/>
        <bgColor rgb="FF3F5F45"/>
      </patternFill>
    </fill>
    <fill>
      <patternFill patternType="solid">
        <fgColor rgb="FFE8F0E3"/>
        <bgColor rgb="FFE8F0E3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  <bottom style="thin">
        <color rgb="FFD9E1DC"/>
      </bottom>
    </border>
    <border>
      <top style="thin">
        <color rgb="FFD9E1DC"/>
      </top>
      <bottom style="thin">
        <color rgb="FFD9E1DC"/>
      </bottom>
    </border>
    <border>
      <left/>
      <right style="thin">
        <color rgb="FFD9E1DC"/>
      </right>
      <top/>
      <bottom style="thin">
        <color rgb="FFD9E1DC"/>
      </bottom>
    </border>
    <border>
      <left style="thin">
        <color rgb="FFD9E1DC"/>
      </left>
      <right style="thin">
        <color rgb="FFD9E1DC"/>
      </right>
      <top/>
      <bottom style="thin">
        <color rgb="FFD9E1DC"/>
      </bottom>
    </border>
    <border>
      <left style="thin">
        <color rgb="FFD9E1DC"/>
      </left>
      <right/>
      <top/>
      <bottom style="thin">
        <color rgb="FFD9E1DC"/>
      </bottom>
    </border>
    <border>
      <right style="thin">
        <color rgb="FFD9E1DC"/>
      </right>
      <top style="thin">
        <color rgb="FFD9E1DC"/>
      </top>
      <bottom style="thin">
        <color rgb="FFD9E1DC"/>
      </bottom>
    </border>
    <border>
      <left style="thin">
        <color rgb="FFD9E1DC"/>
      </left>
      <right style="thin">
        <color rgb="FFD9E1DC"/>
      </right>
      <top style="thin">
        <color rgb="FFD9E1DC"/>
      </top>
      <bottom style="thin">
        <color rgb="FFD9E1DC"/>
      </bottom>
    </border>
    <border>
      <left style="thin">
        <color rgb="FFD9E1DC"/>
      </left>
      <top style="thin">
        <color rgb="FFD9E1DC"/>
      </top>
      <bottom style="thin">
        <color rgb="FFD9E1DC"/>
      </bottom>
    </border>
    <border>
      <top style="thin">
        <color rgb="FFD9E1DC"/>
      </top>
    </border>
    <border>
      <right style="thin">
        <color rgb="FFD9E1DC"/>
      </right>
      <top style="thin">
        <color rgb="FFD9E1DC"/>
      </top>
    </border>
    <border>
      <left style="thin">
        <color rgb="FFD9E1DC"/>
      </left>
      <right style="thin">
        <color rgb="FFD9E1DC"/>
      </right>
      <top style="thin">
        <color rgb="FFD9E1DC"/>
      </top>
    </border>
    <border>
      <left style="thin">
        <color rgb="FFD9E1DC"/>
      </left>
      <top style="thin">
        <color rgb="FFD9E1DC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shrinkToFit="0" vertical="center" wrapText="1"/>
    </xf>
    <xf borderId="4" fillId="4" fontId="5" numFmtId="0" xfId="0" applyAlignment="1" applyBorder="1" applyFill="1" applyFont="1">
      <alignment horizontal="center" shrinkToFit="0" vertical="bottom" wrapText="1"/>
    </xf>
    <xf borderId="4" fillId="5" fontId="5" numFmtId="0" xfId="0" applyAlignment="1" applyBorder="1" applyFill="1" applyFont="1">
      <alignment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5" fillId="5" fontId="5" numFmtId="0" xfId="0" applyAlignment="1" applyBorder="1" applyFill="1" applyFont="1">
      <alignment shrinkToFit="0" vertical="top" wrapText="1"/>
    </xf>
    <xf borderId="0" fillId="0" fontId="6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6" fillId="0" fontId="6" numFmtId="0" xfId="0" applyAlignment="1" applyBorder="1" applyFont="1">
      <alignment shrinkToFit="0" vertical="top" wrapText="1"/>
    </xf>
    <xf borderId="7" fillId="5" fontId="5" numFmtId="0" xfId="0" applyAlignment="1" applyBorder="1" applyFill="1" applyFont="1">
      <alignment shrinkToFit="0" vertical="top" wrapText="1"/>
    </xf>
    <xf borderId="8" fillId="5" fontId="5" numFmtId="0" xfId="0" applyAlignment="1" applyBorder="1" applyFill="1" applyFont="1">
      <alignment shrinkToFit="0" vertical="top" wrapText="1"/>
    </xf>
    <xf borderId="9" fillId="5" fontId="5" numFmtId="0" xfId="0" applyAlignment="1" applyBorder="1" applyFill="1" applyFont="1">
      <alignment shrinkToFit="0" vertical="top" wrapText="1"/>
    </xf>
    <xf borderId="0" fillId="0" fontId="7" numFmtId="0" xfId="0" applyAlignment="1" applyFont="1">
      <alignment vertical="bottom"/>
    </xf>
    <xf borderId="0" fillId="0" fontId="6" numFmtId="0" xfId="0" applyAlignment="1" applyFont="1">
      <alignment shrinkToFit="0" vertical="top" wrapText="1"/>
    </xf>
    <xf borderId="4" fillId="4" fontId="5" numFmtId="0" xfId="0" applyAlignment="1" applyBorder="1" applyFill="1" applyFont="1">
      <alignment vertical="bottom"/>
    </xf>
    <xf borderId="10" fillId="0" fontId="6" numFmtId="0" xfId="0" applyAlignment="1" applyBorder="1" applyFont="1">
      <alignment shrinkToFit="0" vertical="top" wrapText="1"/>
    </xf>
    <xf borderId="11" fillId="0" fontId="6" numFmtId="0" xfId="0" applyAlignment="1" applyBorder="1" applyFont="1">
      <alignment shrinkToFit="0" vertical="top" wrapText="1"/>
    </xf>
    <xf borderId="12" fillId="0" fontId="6" numFmtId="0" xfId="0" applyAlignment="1" applyBorder="1" applyFont="1">
      <alignment shrinkToFit="0" vertical="top" wrapText="1"/>
    </xf>
    <xf borderId="4" fillId="6" fontId="3" numFmtId="0" xfId="0" applyAlignment="1" applyBorder="1" applyFill="1" applyFont="1">
      <alignment vertical="bottom"/>
    </xf>
    <xf borderId="4" fillId="7" fontId="3" numFmtId="0" xfId="0" applyAlignment="1" applyBorder="1" applyFill="1" applyFont="1">
      <alignment vertical="bottom"/>
    </xf>
    <xf borderId="4" fillId="8" fontId="3" numFmtId="0" xfId="0" applyAlignment="1" applyBorder="1" applyFill="1" applyFont="1">
      <alignment vertical="bottom"/>
    </xf>
    <xf borderId="13" fillId="0" fontId="6" numFmtId="0" xfId="0" applyAlignment="1" applyBorder="1" applyFont="1">
      <alignment shrinkToFit="0" vertical="top" wrapText="1"/>
    </xf>
    <xf borderId="14" fillId="0" fontId="6" numFmtId="0" xfId="0" applyAlignment="1" applyBorder="1" applyFont="1">
      <alignment shrinkToFit="0" vertical="top" wrapText="1"/>
    </xf>
    <xf borderId="15" fillId="0" fontId="6" numFmtId="0" xfId="0" applyAlignment="1" applyBorder="1" applyFont="1">
      <alignment shrinkToFit="0" vertical="top" wrapText="1"/>
    </xf>
    <xf borderId="16" fillId="0" fontId="6" numFmtId="0" xfId="0" applyAlignment="1" applyBorder="1" applyFont="1">
      <alignment shrinkToFit="0" vertical="top" wrapText="1"/>
    </xf>
    <xf borderId="4" fillId="4" fontId="5" numFmtId="0" xfId="0" applyAlignment="1" applyBorder="1" applyFill="1" applyFont="1">
      <alignment shrinkToFit="0" vertical="bottom" wrapText="1"/>
    </xf>
    <xf borderId="1" fillId="9" fontId="8" numFmtId="0" xfId="0" applyAlignment="1" applyBorder="1" applyFill="1" applyFont="1">
      <alignment vertical="bottom"/>
    </xf>
    <xf borderId="1" fillId="10" fontId="9" numFmtId="0" xfId="0" applyAlignment="1" applyBorder="1" applyFill="1" applyFont="1">
      <alignment shrinkToFit="0" vertical="bottom" wrapText="1"/>
    </xf>
  </cellXfs>
  <cellStyles count="1">
    <cellStyle xfId="0" name="Normal" builtinId="0"/>
  </cellStyles>
  <dxfs count="5">
    <dxf>
      <font/>
      <fill>
        <patternFill patternType="solid">
          <fgColor rgb="FFFFF1CF"/>
          <bgColor rgb="FFFFF1CF"/>
        </patternFill>
      </fill>
      <border/>
    </dxf>
    <dxf>
      <font/>
      <fill>
        <patternFill patternType="solid">
          <fgColor rgb="FFE8F0E3"/>
          <bgColor rgb="FFE8F0E3"/>
        </patternFill>
      </fill>
      <border/>
    </dxf>
    <dxf>
      <font/>
      <fill>
        <patternFill patternType="solid">
          <fgColor rgb="FFECE7F2"/>
          <bgColor rgb="FFECE7F2"/>
        </patternFill>
      </fill>
      <border/>
    </dxf>
    <dxf>
      <font/>
      <fill>
        <patternFill patternType="solid">
          <fgColor rgb="FFF1E9DC"/>
          <bgColor rgb="FFF1E9DC"/>
        </patternFill>
      </fill>
      <border/>
    </dxf>
    <dxf>
      <font/>
      <fill>
        <patternFill patternType="solid">
          <fgColor rgb="FFE5EEF2"/>
          <bgColor rgb="FFE5EE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26.0"/>
    <col customWidth="1" min="3" max="3" width="34.0"/>
    <col customWidth="1" min="4" max="4" width="38.0"/>
    <col customWidth="1" min="5" max="5" width="4.0"/>
    <col customWidth="1" min="6" max="6" width="30.0"/>
    <col customWidth="1" min="7" max="8" width="34.0"/>
    <col customWidth="1" min="9" max="9" width="40.0"/>
    <col customWidth="1" min="10" max="10" width="18.0"/>
    <col customWidth="1" min="11" max="26" width="12.57"/>
  </cols>
  <sheetData>
    <row r="1" ht="25.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75" customHeight="1">
      <c r="A2" s="5" t="s">
        <v>3</v>
      </c>
      <c r="B2" s="2"/>
      <c r="C2" s="2"/>
      <c r="D2" s="2"/>
      <c r="E2" s="2"/>
      <c r="F2" s="2"/>
      <c r="G2" s="2"/>
      <c r="H2" s="2"/>
      <c r="I2" s="2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7" t="s">
        <v>15</v>
      </c>
      <c r="B4" s="7" t="s">
        <v>17</v>
      </c>
      <c r="C4" s="7" t="s">
        <v>19</v>
      </c>
      <c r="D4" s="7" t="s">
        <v>21</v>
      </c>
      <c r="E4" s="4"/>
      <c r="F4" s="7" t="s">
        <v>25</v>
      </c>
      <c r="G4" s="7" t="s">
        <v>26</v>
      </c>
      <c r="H4" s="7" t="s">
        <v>28</v>
      </c>
      <c r="I4" s="7" t="s">
        <v>30</v>
      </c>
      <c r="J4" s="7" t="s">
        <v>32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3.25" customHeight="1">
      <c r="A5" s="10" t="s">
        <v>38</v>
      </c>
      <c r="B5" s="10">
        <v>114.0</v>
      </c>
      <c r="C5" s="10">
        <v>152.0</v>
      </c>
      <c r="D5" s="10" t="s">
        <v>43</v>
      </c>
      <c r="E5" s="4"/>
      <c r="F5" s="11" t="s">
        <v>46</v>
      </c>
      <c r="G5" s="11" t="s">
        <v>50</v>
      </c>
      <c r="H5" s="11" t="s">
        <v>54</v>
      </c>
      <c r="I5" s="11" t="s">
        <v>57</v>
      </c>
      <c r="J5" s="11" t="s">
        <v>60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3.25" customHeight="1">
      <c r="A6" s="10" t="s">
        <v>68</v>
      </c>
      <c r="B6" s="10">
        <v>114.0</v>
      </c>
      <c r="C6" s="10">
        <v>152.0</v>
      </c>
      <c r="D6" s="10" t="s">
        <v>43</v>
      </c>
      <c r="E6" s="4"/>
      <c r="F6" s="11" t="s">
        <v>74</v>
      </c>
      <c r="G6" s="11" t="s">
        <v>75</v>
      </c>
      <c r="H6" s="11" t="s">
        <v>77</v>
      </c>
      <c r="I6" s="11" t="s">
        <v>79</v>
      </c>
      <c r="J6" s="11" t="s">
        <v>60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3.25" customHeight="1">
      <c r="A7" s="10" t="s">
        <v>83</v>
      </c>
      <c r="B7" s="10">
        <v>114.0</v>
      </c>
      <c r="C7" s="10">
        <v>0.0</v>
      </c>
      <c r="D7" s="10" t="s">
        <v>85</v>
      </c>
      <c r="E7" s="4"/>
      <c r="F7" s="11" t="s">
        <v>87</v>
      </c>
      <c r="G7" s="11" t="s">
        <v>90</v>
      </c>
      <c r="H7" s="11" t="s">
        <v>92</v>
      </c>
      <c r="I7" s="11" t="s">
        <v>94</v>
      </c>
      <c r="J7" s="11" t="s">
        <v>96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3.25" customHeight="1">
      <c r="A8" s="4"/>
      <c r="B8" s="4"/>
      <c r="C8" s="4"/>
      <c r="D8" s="4"/>
      <c r="E8" s="4"/>
      <c r="F8" s="11" t="s">
        <v>112</v>
      </c>
      <c r="G8" s="11" t="s">
        <v>114</v>
      </c>
      <c r="H8" s="11" t="s">
        <v>116</v>
      </c>
      <c r="I8" s="11" t="s">
        <v>117</v>
      </c>
      <c r="J8" s="11" t="s">
        <v>60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18"/>
      <c r="B9" s="18"/>
      <c r="C9" s="18"/>
      <c r="D9" s="18"/>
      <c r="E9" s="4"/>
      <c r="F9" s="11" t="s">
        <v>127</v>
      </c>
      <c r="G9" s="11" t="s">
        <v>129</v>
      </c>
      <c r="H9" s="11" t="s">
        <v>132</v>
      </c>
      <c r="I9" s="11" t="s">
        <v>134</v>
      </c>
      <c r="J9" s="11" t="s">
        <v>60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7" t="s">
        <v>146</v>
      </c>
      <c r="B10" s="7" t="s">
        <v>148</v>
      </c>
      <c r="C10" s="7" t="s">
        <v>150</v>
      </c>
      <c r="D10" s="7" t="s">
        <v>152</v>
      </c>
      <c r="E10" s="4"/>
      <c r="F10" s="10" t="s">
        <v>153</v>
      </c>
      <c r="G10" s="10" t="s">
        <v>155</v>
      </c>
      <c r="H10" s="10" t="s">
        <v>158</v>
      </c>
      <c r="I10" s="10" t="s">
        <v>160</v>
      </c>
      <c r="J10" s="10" t="s">
        <v>60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3.25" customHeight="1">
      <c r="A11" s="11" t="s">
        <v>164</v>
      </c>
      <c r="B11" s="11" t="s">
        <v>165</v>
      </c>
      <c r="C11" s="11" t="s">
        <v>166</v>
      </c>
      <c r="D11" s="11" t="s">
        <v>167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3.25" customHeight="1">
      <c r="A12" s="11" t="s">
        <v>175</v>
      </c>
      <c r="B12" s="11" t="s">
        <v>165</v>
      </c>
      <c r="C12" s="11" t="s">
        <v>177</v>
      </c>
      <c r="D12" s="11" t="s">
        <v>180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3.25" customHeight="1">
      <c r="A13" s="11" t="s">
        <v>190</v>
      </c>
      <c r="B13" s="11" t="s">
        <v>191</v>
      </c>
      <c r="C13" s="11" t="s">
        <v>192</v>
      </c>
      <c r="D13" s="11" t="s">
        <v>193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11" t="s">
        <v>199</v>
      </c>
      <c r="B14" s="11" t="s">
        <v>202</v>
      </c>
      <c r="C14" s="11" t="s">
        <v>205</v>
      </c>
      <c r="D14" s="11" t="s">
        <v>208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3.25" customHeight="1">
      <c r="A15" s="11" t="s">
        <v>210</v>
      </c>
      <c r="B15" s="11" t="s">
        <v>211</v>
      </c>
      <c r="C15" s="11" t="s">
        <v>214</v>
      </c>
      <c r="D15" s="11" t="s">
        <v>215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4" t="s">
        <v>233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J1"/>
    <mergeCell ref="A2:J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10.0"/>
    <col customWidth="1" min="3" max="3" width="18.0"/>
    <col customWidth="1" min="4" max="4" width="10.0"/>
    <col customWidth="1" min="5" max="5" width="30.0"/>
    <col customWidth="1" min="6" max="6" width="24.0"/>
    <col customWidth="1" min="7" max="7" width="12.0"/>
    <col customWidth="1" min="8" max="8" width="22.0"/>
    <col customWidth="1" min="9" max="9" width="34.0"/>
    <col customWidth="1" min="10" max="10" width="38.0"/>
    <col customWidth="1" min="11" max="13" width="34.0"/>
    <col customWidth="1" min="14" max="15" width="18.0"/>
    <col customWidth="1" min="16" max="16" width="24.0"/>
    <col customWidth="1" min="17" max="17" width="30.0"/>
    <col customWidth="1" min="18" max="18" width="22.0"/>
    <col customWidth="1" min="19" max="19" width="20.0"/>
    <col customWidth="1" min="20" max="20" width="28.0"/>
    <col customWidth="1" min="21" max="21" width="32.0"/>
    <col customWidth="1" min="22" max="22" width="34.0"/>
    <col customWidth="1" min="23" max="24" width="30.0"/>
    <col customWidth="1" min="25" max="25" width="26.0"/>
    <col customWidth="1" min="26" max="26" width="24.0"/>
    <col customWidth="1" min="27" max="27" width="18.0"/>
    <col customWidth="1" min="28" max="28" width="42.0"/>
    <col customWidth="1" min="29" max="31" width="8.57"/>
    <col customWidth="1" min="32" max="32" width="12.57"/>
  </cols>
  <sheetData>
    <row r="1" ht="25.5" customHeight="1">
      <c r="A1" s="1" t="s">
        <v>256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ht="33.75" customHeight="1">
      <c r="A2" s="5" t="s">
        <v>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ht="39.75" customHeight="1">
      <c r="A3" s="8" t="s">
        <v>33</v>
      </c>
      <c r="B3" s="8" t="s">
        <v>35</v>
      </c>
      <c r="C3" s="8" t="s">
        <v>36</v>
      </c>
      <c r="D3" s="8" t="s">
        <v>37</v>
      </c>
      <c r="E3" s="8" t="s">
        <v>39</v>
      </c>
      <c r="F3" s="8" t="s">
        <v>8</v>
      </c>
      <c r="G3" s="8" t="s">
        <v>40</v>
      </c>
      <c r="H3" s="8" t="s">
        <v>41</v>
      </c>
      <c r="I3" s="8" t="s">
        <v>9</v>
      </c>
      <c r="J3" s="8" t="s">
        <v>42</v>
      </c>
      <c r="K3" s="8" t="s">
        <v>45</v>
      </c>
      <c r="L3" s="8" t="s">
        <v>11</v>
      </c>
      <c r="M3" s="8" t="s">
        <v>47</v>
      </c>
      <c r="N3" s="8" t="s">
        <v>48</v>
      </c>
      <c r="O3" s="8" t="s">
        <v>52</v>
      </c>
      <c r="P3" s="8" t="s">
        <v>56</v>
      </c>
      <c r="Q3" s="8" t="s">
        <v>59</v>
      </c>
      <c r="R3" s="8" t="s">
        <v>61</v>
      </c>
      <c r="S3" s="8" t="s">
        <v>13</v>
      </c>
      <c r="T3" s="8" t="s">
        <v>63</v>
      </c>
      <c r="U3" s="8" t="s">
        <v>64</v>
      </c>
      <c r="V3" s="8" t="s">
        <v>65</v>
      </c>
      <c r="W3" s="8" t="s">
        <v>66</v>
      </c>
      <c r="X3" s="8" t="s">
        <v>67</v>
      </c>
      <c r="Y3" s="8" t="s">
        <v>69</v>
      </c>
      <c r="Z3" s="8" t="s">
        <v>70</v>
      </c>
      <c r="AA3" s="8" t="s">
        <v>72</v>
      </c>
      <c r="AB3" s="8" t="s">
        <v>73</v>
      </c>
      <c r="AC3" s="13" t="s">
        <v>15</v>
      </c>
      <c r="AD3" s="14" t="s">
        <v>34</v>
      </c>
      <c r="AE3" s="15" t="s">
        <v>97</v>
      </c>
      <c r="AF3" s="16" t="s">
        <v>98</v>
      </c>
    </row>
    <row r="4" ht="43.5" customHeight="1">
      <c r="A4" s="17" t="s">
        <v>311</v>
      </c>
      <c r="B4" s="17">
        <v>1.0</v>
      </c>
      <c r="C4" s="17" t="s">
        <v>312</v>
      </c>
      <c r="D4" s="17">
        <v>1.0</v>
      </c>
      <c r="E4" s="17" t="s">
        <v>314</v>
      </c>
      <c r="F4" s="17" t="s">
        <v>20</v>
      </c>
      <c r="G4" s="17">
        <v>1.0</v>
      </c>
      <c r="H4" s="17" t="s">
        <v>123</v>
      </c>
      <c r="I4" s="17" t="s">
        <v>321</v>
      </c>
      <c r="J4" s="17" t="s">
        <v>322</v>
      </c>
      <c r="K4" s="17" t="s">
        <v>323</v>
      </c>
      <c r="L4" s="17" t="s">
        <v>323</v>
      </c>
      <c r="M4" s="17" t="s">
        <v>128</v>
      </c>
      <c r="N4" s="17"/>
      <c r="O4" s="17" t="s">
        <v>324</v>
      </c>
      <c r="P4" s="17" t="s">
        <v>325</v>
      </c>
      <c r="Q4" s="17" t="s">
        <v>326</v>
      </c>
      <c r="R4" s="17" t="s">
        <v>136</v>
      </c>
      <c r="S4" s="17" t="s">
        <v>29</v>
      </c>
      <c r="T4" s="17" t="s">
        <v>330</v>
      </c>
      <c r="U4" s="17" t="s">
        <v>331</v>
      </c>
      <c r="V4" s="17" t="s">
        <v>332</v>
      </c>
      <c r="W4" s="17" t="s">
        <v>145</v>
      </c>
      <c r="X4" s="17" t="s">
        <v>333</v>
      </c>
      <c r="Y4" s="17" t="s">
        <v>149</v>
      </c>
      <c r="Z4" s="17" t="s">
        <v>151</v>
      </c>
      <c r="AA4" s="17" t="s">
        <v>162</v>
      </c>
      <c r="AB4" s="17" t="s">
        <v>341</v>
      </c>
      <c r="AC4" s="19" t="s">
        <v>38</v>
      </c>
      <c r="AD4" s="20" t="s">
        <v>350</v>
      </c>
      <c r="AE4" s="21" t="s">
        <v>174</v>
      </c>
      <c r="AF4" s="22" t="s">
        <v>182</v>
      </c>
    </row>
    <row r="5" ht="43.5" customHeight="1">
      <c r="A5" s="17" t="s">
        <v>354</v>
      </c>
      <c r="B5" s="17">
        <v>2.0</v>
      </c>
      <c r="C5" s="17" t="s">
        <v>312</v>
      </c>
      <c r="D5" s="17">
        <v>1.0</v>
      </c>
      <c r="E5" s="17" t="s">
        <v>314</v>
      </c>
      <c r="F5" s="17" t="s">
        <v>20</v>
      </c>
      <c r="G5" s="17">
        <v>2.0</v>
      </c>
      <c r="H5" s="17" t="s">
        <v>123</v>
      </c>
      <c r="I5" s="17" t="s">
        <v>360</v>
      </c>
      <c r="J5" s="17" t="s">
        <v>361</v>
      </c>
      <c r="K5" s="17" t="s">
        <v>285</v>
      </c>
      <c r="L5" s="17" t="s">
        <v>285</v>
      </c>
      <c r="M5" s="17" t="s">
        <v>323</v>
      </c>
      <c r="N5" s="17"/>
      <c r="O5" s="17" t="s">
        <v>324</v>
      </c>
      <c r="P5" s="17" t="s">
        <v>325</v>
      </c>
      <c r="Q5" s="17" t="s">
        <v>326</v>
      </c>
      <c r="R5" s="17" t="s">
        <v>136</v>
      </c>
      <c r="S5" s="17" t="s">
        <v>29</v>
      </c>
      <c r="T5" s="17" t="s">
        <v>368</v>
      </c>
      <c r="U5" s="17" t="s">
        <v>290</v>
      </c>
      <c r="V5" s="17" t="s">
        <v>295</v>
      </c>
      <c r="W5" s="17" t="s">
        <v>209</v>
      </c>
      <c r="X5" s="17" t="s">
        <v>333</v>
      </c>
      <c r="Y5" s="17" t="s">
        <v>149</v>
      </c>
      <c r="Z5" s="17" t="s">
        <v>151</v>
      </c>
      <c r="AA5" s="17" t="s">
        <v>162</v>
      </c>
      <c r="AB5" s="17" t="s">
        <v>341</v>
      </c>
      <c r="AC5" s="19" t="s">
        <v>38</v>
      </c>
      <c r="AD5" s="20" t="s">
        <v>350</v>
      </c>
      <c r="AE5" s="21" t="s">
        <v>174</v>
      </c>
      <c r="AF5" s="22" t="s">
        <v>182</v>
      </c>
    </row>
    <row r="6" ht="43.5" customHeight="1">
      <c r="A6" s="17" t="s">
        <v>374</v>
      </c>
      <c r="B6" s="17">
        <v>3.0</v>
      </c>
      <c r="C6" s="17" t="s">
        <v>312</v>
      </c>
      <c r="D6" s="17">
        <v>1.0</v>
      </c>
      <c r="E6" s="17" t="s">
        <v>314</v>
      </c>
      <c r="F6" s="17" t="s">
        <v>20</v>
      </c>
      <c r="G6" s="17">
        <v>3.0</v>
      </c>
      <c r="H6" s="17" t="s">
        <v>240</v>
      </c>
      <c r="I6" s="17" t="s">
        <v>382</v>
      </c>
      <c r="J6" s="17" t="s">
        <v>23</v>
      </c>
      <c r="K6" s="17" t="s">
        <v>24</v>
      </c>
      <c r="L6" s="17" t="s">
        <v>24</v>
      </c>
      <c r="M6" s="17" t="s">
        <v>386</v>
      </c>
      <c r="N6" s="17" t="s">
        <v>16</v>
      </c>
      <c r="O6" s="17" t="s">
        <v>249</v>
      </c>
      <c r="P6" s="17" t="s">
        <v>252</v>
      </c>
      <c r="Q6" s="17" t="s">
        <v>27</v>
      </c>
      <c r="R6" s="17" t="s">
        <v>136</v>
      </c>
      <c r="S6" s="17" t="s">
        <v>29</v>
      </c>
      <c r="T6" s="17" t="s">
        <v>392</v>
      </c>
      <c r="U6" s="17" t="s">
        <v>393</v>
      </c>
      <c r="V6" s="17" t="s">
        <v>394</v>
      </c>
      <c r="W6" s="17" t="s">
        <v>260</v>
      </c>
      <c r="X6" s="17" t="s">
        <v>333</v>
      </c>
      <c r="Y6" s="17" t="s">
        <v>261</v>
      </c>
      <c r="Z6" s="17" t="s">
        <v>151</v>
      </c>
      <c r="AA6" s="17" t="s">
        <v>162</v>
      </c>
      <c r="AB6" s="17" t="s">
        <v>396</v>
      </c>
      <c r="AC6" s="19" t="s">
        <v>38</v>
      </c>
      <c r="AD6" s="20" t="s">
        <v>350</v>
      </c>
      <c r="AE6" s="21" t="s">
        <v>174</v>
      </c>
      <c r="AF6" s="23" t="s">
        <v>272</v>
      </c>
    </row>
    <row r="7" ht="43.5" customHeight="1">
      <c r="A7" s="17" t="s">
        <v>406</v>
      </c>
      <c r="B7" s="17">
        <v>4.0</v>
      </c>
      <c r="C7" s="17" t="s">
        <v>312</v>
      </c>
      <c r="D7" s="17">
        <v>1.0</v>
      </c>
      <c r="E7" s="17" t="s">
        <v>314</v>
      </c>
      <c r="F7" s="17" t="s">
        <v>20</v>
      </c>
      <c r="G7" s="17">
        <v>3.0</v>
      </c>
      <c r="H7" s="17" t="s">
        <v>123</v>
      </c>
      <c r="I7" s="17" t="s">
        <v>408</v>
      </c>
      <c r="J7" s="17" t="s">
        <v>410</v>
      </c>
      <c r="K7" s="17" t="s">
        <v>411</v>
      </c>
      <c r="L7" s="17" t="s">
        <v>411</v>
      </c>
      <c r="M7" s="17" t="s">
        <v>285</v>
      </c>
      <c r="N7" s="17"/>
      <c r="O7" s="17" t="s">
        <v>324</v>
      </c>
      <c r="P7" s="17" t="s">
        <v>325</v>
      </c>
      <c r="Q7" s="17" t="s">
        <v>326</v>
      </c>
      <c r="R7" s="17" t="s">
        <v>136</v>
      </c>
      <c r="S7" s="17" t="s">
        <v>29</v>
      </c>
      <c r="T7" s="17" t="s">
        <v>418</v>
      </c>
      <c r="U7" s="17" t="s">
        <v>419</v>
      </c>
      <c r="V7" s="17" t="s">
        <v>420</v>
      </c>
      <c r="W7" s="17" t="s">
        <v>209</v>
      </c>
      <c r="X7" s="17" t="s">
        <v>333</v>
      </c>
      <c r="Y7" s="17" t="s">
        <v>149</v>
      </c>
      <c r="Z7" s="17" t="s">
        <v>151</v>
      </c>
      <c r="AA7" s="17" t="s">
        <v>162</v>
      </c>
      <c r="AB7" s="17" t="s">
        <v>341</v>
      </c>
      <c r="AC7" s="19" t="s">
        <v>38</v>
      </c>
      <c r="AD7" s="20" t="s">
        <v>350</v>
      </c>
      <c r="AE7" s="21" t="s">
        <v>174</v>
      </c>
      <c r="AF7" s="22" t="s">
        <v>182</v>
      </c>
    </row>
    <row r="8" ht="43.5" customHeight="1">
      <c r="A8" s="17" t="s">
        <v>422</v>
      </c>
      <c r="B8" s="17">
        <v>5.0</v>
      </c>
      <c r="C8" s="17" t="s">
        <v>312</v>
      </c>
      <c r="D8" s="17">
        <v>1.0</v>
      </c>
      <c r="E8" s="17" t="s">
        <v>314</v>
      </c>
      <c r="F8" s="17" t="s">
        <v>20</v>
      </c>
      <c r="G8" s="17">
        <v>4.0</v>
      </c>
      <c r="H8" s="17" t="s">
        <v>123</v>
      </c>
      <c r="I8" s="17" t="s">
        <v>428</v>
      </c>
      <c r="J8" s="17" t="s">
        <v>430</v>
      </c>
      <c r="K8" s="17" t="s">
        <v>432</v>
      </c>
      <c r="L8" s="17" t="s">
        <v>432</v>
      </c>
      <c r="M8" s="17" t="s">
        <v>411</v>
      </c>
      <c r="N8" s="17"/>
      <c r="O8" s="17" t="s">
        <v>324</v>
      </c>
      <c r="P8" s="17" t="s">
        <v>325</v>
      </c>
      <c r="Q8" s="17" t="s">
        <v>326</v>
      </c>
      <c r="R8" s="17" t="s">
        <v>136</v>
      </c>
      <c r="S8" s="17" t="s">
        <v>29</v>
      </c>
      <c r="T8" s="17" t="s">
        <v>433</v>
      </c>
      <c r="U8" s="17" t="s">
        <v>434</v>
      </c>
      <c r="V8" s="17" t="s">
        <v>435</v>
      </c>
      <c r="W8" s="17" t="s">
        <v>209</v>
      </c>
      <c r="X8" s="17" t="s">
        <v>333</v>
      </c>
      <c r="Y8" s="17" t="s">
        <v>149</v>
      </c>
      <c r="Z8" s="17" t="s">
        <v>151</v>
      </c>
      <c r="AA8" s="17" t="s">
        <v>162</v>
      </c>
      <c r="AB8" s="17" t="s">
        <v>341</v>
      </c>
      <c r="AC8" s="19" t="s">
        <v>38</v>
      </c>
      <c r="AD8" s="20" t="s">
        <v>350</v>
      </c>
      <c r="AE8" s="21" t="s">
        <v>174</v>
      </c>
      <c r="AF8" s="22" t="s">
        <v>182</v>
      </c>
    </row>
    <row r="9" ht="43.5" customHeight="1">
      <c r="A9" s="17" t="s">
        <v>439</v>
      </c>
      <c r="B9" s="17">
        <v>5.5</v>
      </c>
      <c r="C9" s="17" t="s">
        <v>312</v>
      </c>
      <c r="D9" s="17">
        <v>1.0</v>
      </c>
      <c r="E9" s="17" t="s">
        <v>314</v>
      </c>
      <c r="F9" s="17" t="s">
        <v>20</v>
      </c>
      <c r="G9" s="17">
        <v>5.0</v>
      </c>
      <c r="H9" s="17" t="s">
        <v>123</v>
      </c>
      <c r="I9" s="17" t="s">
        <v>442</v>
      </c>
      <c r="J9" s="17" t="s">
        <v>443</v>
      </c>
      <c r="K9" s="17" t="s">
        <v>444</v>
      </c>
      <c r="L9" s="17" t="s">
        <v>444</v>
      </c>
      <c r="M9" s="17" t="s">
        <v>445</v>
      </c>
      <c r="N9" s="17"/>
      <c r="O9" s="17" t="s">
        <v>324</v>
      </c>
      <c r="P9" s="17" t="s">
        <v>325</v>
      </c>
      <c r="Q9" s="17" t="s">
        <v>326</v>
      </c>
      <c r="R9" s="17" t="s">
        <v>136</v>
      </c>
      <c r="S9" s="17" t="s">
        <v>29</v>
      </c>
      <c r="T9" s="17" t="s">
        <v>446</v>
      </c>
      <c r="U9" s="17" t="s">
        <v>447</v>
      </c>
      <c r="V9" s="17" t="s">
        <v>448</v>
      </c>
      <c r="W9" s="17" t="s">
        <v>209</v>
      </c>
      <c r="X9" s="17" t="s">
        <v>333</v>
      </c>
      <c r="Y9" s="17" t="s">
        <v>149</v>
      </c>
      <c r="Z9" s="17" t="s">
        <v>151</v>
      </c>
      <c r="AA9" s="17" t="s">
        <v>162</v>
      </c>
      <c r="AB9" s="17" t="s">
        <v>449</v>
      </c>
      <c r="AC9" s="19" t="s">
        <v>38</v>
      </c>
      <c r="AD9" s="20" t="s">
        <v>350</v>
      </c>
      <c r="AE9" s="21" t="s">
        <v>174</v>
      </c>
      <c r="AF9" s="22" t="s">
        <v>182</v>
      </c>
    </row>
    <row r="10" ht="43.5" customHeight="1">
      <c r="A10" s="17" t="s">
        <v>451</v>
      </c>
      <c r="B10" s="17">
        <v>6.0</v>
      </c>
      <c r="C10" s="17" t="s">
        <v>312</v>
      </c>
      <c r="D10" s="17">
        <v>1.0</v>
      </c>
      <c r="E10" s="17" t="s">
        <v>314</v>
      </c>
      <c r="F10" s="17" t="s">
        <v>20</v>
      </c>
      <c r="G10" s="17">
        <v>6.0</v>
      </c>
      <c r="H10" s="17" t="s">
        <v>123</v>
      </c>
      <c r="I10" s="17" t="s">
        <v>453</v>
      </c>
      <c r="J10" s="17" t="s">
        <v>454</v>
      </c>
      <c r="K10" s="17" t="s">
        <v>455</v>
      </c>
      <c r="L10" s="17" t="s">
        <v>455</v>
      </c>
      <c r="M10" s="17" t="s">
        <v>432</v>
      </c>
      <c r="N10" s="17"/>
      <c r="O10" s="17" t="s">
        <v>324</v>
      </c>
      <c r="P10" s="17" t="s">
        <v>325</v>
      </c>
      <c r="Q10" s="17" t="s">
        <v>326</v>
      </c>
      <c r="R10" s="17" t="s">
        <v>136</v>
      </c>
      <c r="S10" s="17" t="s">
        <v>29</v>
      </c>
      <c r="T10" s="17" t="s">
        <v>457</v>
      </c>
      <c r="U10" s="17" t="s">
        <v>458</v>
      </c>
      <c r="V10" s="17" t="s">
        <v>459</v>
      </c>
      <c r="W10" s="17" t="s">
        <v>145</v>
      </c>
      <c r="X10" s="17" t="s">
        <v>333</v>
      </c>
      <c r="Y10" s="17" t="s">
        <v>149</v>
      </c>
      <c r="Z10" s="17" t="s">
        <v>151</v>
      </c>
      <c r="AA10" s="17" t="s">
        <v>162</v>
      </c>
      <c r="AB10" s="17" t="s">
        <v>341</v>
      </c>
      <c r="AC10" s="19" t="s">
        <v>38</v>
      </c>
      <c r="AD10" s="20" t="s">
        <v>350</v>
      </c>
      <c r="AE10" s="21" t="s">
        <v>174</v>
      </c>
      <c r="AF10" s="22" t="s">
        <v>182</v>
      </c>
    </row>
    <row r="11" ht="43.5" customHeight="1">
      <c r="A11" s="17" t="s">
        <v>468</v>
      </c>
      <c r="B11" s="17">
        <v>7.0</v>
      </c>
      <c r="C11" s="17" t="s">
        <v>312</v>
      </c>
      <c r="D11" s="17">
        <v>1.0</v>
      </c>
      <c r="E11" s="17" t="s">
        <v>314</v>
      </c>
      <c r="F11" s="17" t="s">
        <v>20</v>
      </c>
      <c r="G11" s="17">
        <v>8.0</v>
      </c>
      <c r="H11" s="17" t="s">
        <v>240</v>
      </c>
      <c r="I11" s="17" t="s">
        <v>241</v>
      </c>
      <c r="J11" s="17" t="s">
        <v>78</v>
      </c>
      <c r="K11" s="17" t="s">
        <v>80</v>
      </c>
      <c r="L11" s="17" t="s">
        <v>80</v>
      </c>
      <c r="M11" s="17" t="s">
        <v>246</v>
      </c>
      <c r="N11" s="17" t="s">
        <v>71</v>
      </c>
      <c r="O11" s="17" t="s">
        <v>249</v>
      </c>
      <c r="P11" s="17" t="s">
        <v>252</v>
      </c>
      <c r="Q11" s="17" t="s">
        <v>81</v>
      </c>
      <c r="R11" s="17" t="s">
        <v>136</v>
      </c>
      <c r="S11" s="17" t="s">
        <v>82</v>
      </c>
      <c r="T11" s="17" t="s">
        <v>257</v>
      </c>
      <c r="U11" s="17" t="s">
        <v>258</v>
      </c>
      <c r="V11" s="17" t="s">
        <v>475</v>
      </c>
      <c r="W11" s="17" t="s">
        <v>260</v>
      </c>
      <c r="X11" s="17" t="s">
        <v>333</v>
      </c>
      <c r="Y11" s="17" t="s">
        <v>261</v>
      </c>
      <c r="Z11" s="17" t="s">
        <v>151</v>
      </c>
      <c r="AA11" s="17" t="s">
        <v>162</v>
      </c>
      <c r="AB11" s="17" t="s">
        <v>396</v>
      </c>
      <c r="AC11" s="19" t="s">
        <v>38</v>
      </c>
      <c r="AD11" s="20" t="s">
        <v>350</v>
      </c>
      <c r="AE11" s="21" t="s">
        <v>174</v>
      </c>
      <c r="AF11" s="23" t="s">
        <v>272</v>
      </c>
    </row>
    <row r="12" ht="43.5" customHeight="1">
      <c r="A12" s="17" t="s">
        <v>480</v>
      </c>
      <c r="B12" s="17">
        <v>8.0</v>
      </c>
      <c r="C12" s="17" t="s">
        <v>312</v>
      </c>
      <c r="D12" s="17">
        <v>1.0</v>
      </c>
      <c r="E12" s="17" t="s">
        <v>314</v>
      </c>
      <c r="F12" s="17" t="s">
        <v>20</v>
      </c>
      <c r="G12" s="17">
        <v>7.0</v>
      </c>
      <c r="H12" s="17" t="s">
        <v>123</v>
      </c>
      <c r="I12" s="17" t="s">
        <v>485</v>
      </c>
      <c r="J12" s="17" t="s">
        <v>486</v>
      </c>
      <c r="K12" s="17" t="s">
        <v>323</v>
      </c>
      <c r="L12" s="17" t="s">
        <v>323</v>
      </c>
      <c r="M12" s="17" t="s">
        <v>455</v>
      </c>
      <c r="N12" s="17"/>
      <c r="O12" s="17" t="s">
        <v>324</v>
      </c>
      <c r="P12" s="17" t="s">
        <v>325</v>
      </c>
      <c r="Q12" s="17" t="s">
        <v>326</v>
      </c>
      <c r="R12" s="17" t="s">
        <v>136</v>
      </c>
      <c r="S12" s="17" t="s">
        <v>29</v>
      </c>
      <c r="T12" s="17" t="s">
        <v>330</v>
      </c>
      <c r="U12" s="17" t="s">
        <v>492</v>
      </c>
      <c r="V12" s="17" t="s">
        <v>332</v>
      </c>
      <c r="W12" s="17" t="s">
        <v>209</v>
      </c>
      <c r="X12" s="17" t="s">
        <v>333</v>
      </c>
      <c r="Y12" s="17" t="s">
        <v>149</v>
      </c>
      <c r="Z12" s="17" t="s">
        <v>151</v>
      </c>
      <c r="AA12" s="17" t="s">
        <v>162</v>
      </c>
      <c r="AB12" s="17" t="s">
        <v>341</v>
      </c>
      <c r="AC12" s="19" t="s">
        <v>38</v>
      </c>
      <c r="AD12" s="20" t="s">
        <v>350</v>
      </c>
      <c r="AE12" s="21" t="s">
        <v>174</v>
      </c>
      <c r="AF12" s="24" t="s">
        <v>315</v>
      </c>
    </row>
    <row r="13" ht="43.5" customHeight="1">
      <c r="A13" s="17" t="s">
        <v>495</v>
      </c>
      <c r="B13" s="17">
        <v>9.0</v>
      </c>
      <c r="C13" s="17" t="s">
        <v>312</v>
      </c>
      <c r="D13" s="17">
        <v>1.0</v>
      </c>
      <c r="E13" s="17" t="s">
        <v>314</v>
      </c>
      <c r="F13" s="17" t="s">
        <v>20</v>
      </c>
      <c r="G13" s="17">
        <v>8.0</v>
      </c>
      <c r="H13" s="17" t="s">
        <v>123</v>
      </c>
      <c r="I13" s="17" t="s">
        <v>498</v>
      </c>
      <c r="J13" s="17" t="s">
        <v>499</v>
      </c>
      <c r="K13" s="17" t="s">
        <v>285</v>
      </c>
      <c r="L13" s="17" t="s">
        <v>285</v>
      </c>
      <c r="M13" s="17" t="s">
        <v>323</v>
      </c>
      <c r="N13" s="17"/>
      <c r="O13" s="17" t="s">
        <v>324</v>
      </c>
      <c r="P13" s="17" t="s">
        <v>325</v>
      </c>
      <c r="Q13" s="17" t="s">
        <v>326</v>
      </c>
      <c r="R13" s="17" t="s">
        <v>136</v>
      </c>
      <c r="S13" s="17" t="s">
        <v>29</v>
      </c>
      <c r="T13" s="17" t="s">
        <v>368</v>
      </c>
      <c r="U13" s="17" t="s">
        <v>503</v>
      </c>
      <c r="V13" s="17" t="s">
        <v>295</v>
      </c>
      <c r="W13" s="17" t="s">
        <v>209</v>
      </c>
      <c r="X13" s="17" t="s">
        <v>333</v>
      </c>
      <c r="Y13" s="17" t="s">
        <v>149</v>
      </c>
      <c r="Z13" s="17" t="s">
        <v>151</v>
      </c>
      <c r="AA13" s="17" t="s">
        <v>162</v>
      </c>
      <c r="AB13" s="17" t="s">
        <v>341</v>
      </c>
      <c r="AC13" s="19" t="s">
        <v>38</v>
      </c>
      <c r="AD13" s="20" t="s">
        <v>350</v>
      </c>
      <c r="AE13" s="21" t="s">
        <v>174</v>
      </c>
      <c r="AF13" s="24" t="s">
        <v>315</v>
      </c>
    </row>
    <row r="14" ht="43.5" customHeight="1">
      <c r="A14" s="17" t="s">
        <v>505</v>
      </c>
      <c r="B14" s="17">
        <v>10.0</v>
      </c>
      <c r="C14" s="17" t="s">
        <v>312</v>
      </c>
      <c r="D14" s="17">
        <v>1.0</v>
      </c>
      <c r="E14" s="17" t="s">
        <v>314</v>
      </c>
      <c r="F14" s="17" t="s">
        <v>20</v>
      </c>
      <c r="G14" s="17">
        <v>9.0</v>
      </c>
      <c r="H14" s="17" t="s">
        <v>123</v>
      </c>
      <c r="I14" s="17" t="s">
        <v>509</v>
      </c>
      <c r="J14" s="17" t="s">
        <v>510</v>
      </c>
      <c r="K14" s="17" t="s">
        <v>411</v>
      </c>
      <c r="L14" s="17" t="s">
        <v>411</v>
      </c>
      <c r="M14" s="17" t="s">
        <v>285</v>
      </c>
      <c r="N14" s="17"/>
      <c r="O14" s="17" t="s">
        <v>324</v>
      </c>
      <c r="P14" s="17" t="s">
        <v>325</v>
      </c>
      <c r="Q14" s="17" t="s">
        <v>326</v>
      </c>
      <c r="R14" s="17" t="s">
        <v>136</v>
      </c>
      <c r="S14" s="17" t="s">
        <v>29</v>
      </c>
      <c r="T14" s="17" t="s">
        <v>418</v>
      </c>
      <c r="U14" s="17" t="s">
        <v>514</v>
      </c>
      <c r="V14" s="17" t="s">
        <v>420</v>
      </c>
      <c r="W14" s="17" t="s">
        <v>209</v>
      </c>
      <c r="X14" s="17" t="s">
        <v>333</v>
      </c>
      <c r="Y14" s="17" t="s">
        <v>149</v>
      </c>
      <c r="Z14" s="17" t="s">
        <v>151</v>
      </c>
      <c r="AA14" s="17" t="s">
        <v>162</v>
      </c>
      <c r="AB14" s="17" t="s">
        <v>341</v>
      </c>
      <c r="AC14" s="19" t="s">
        <v>38</v>
      </c>
      <c r="AD14" s="20" t="s">
        <v>350</v>
      </c>
      <c r="AE14" s="21" t="s">
        <v>174</v>
      </c>
      <c r="AF14" s="24" t="s">
        <v>315</v>
      </c>
    </row>
    <row r="15" ht="43.5" customHeight="1">
      <c r="A15" s="17" t="s">
        <v>516</v>
      </c>
      <c r="B15" s="17">
        <v>11.0</v>
      </c>
      <c r="C15" s="17" t="s">
        <v>312</v>
      </c>
      <c r="D15" s="17">
        <v>1.0</v>
      </c>
      <c r="E15" s="17" t="s">
        <v>314</v>
      </c>
      <c r="F15" s="17" t="s">
        <v>86</v>
      </c>
      <c r="G15" s="17">
        <v>12.0</v>
      </c>
      <c r="H15" s="17" t="s">
        <v>240</v>
      </c>
      <c r="I15" s="17" t="s">
        <v>518</v>
      </c>
      <c r="J15" s="17" t="s">
        <v>89</v>
      </c>
      <c r="K15" s="17" t="s">
        <v>91</v>
      </c>
      <c r="L15" s="17" t="s">
        <v>91</v>
      </c>
      <c r="M15" s="17" t="s">
        <v>520</v>
      </c>
      <c r="N15" s="17" t="s">
        <v>84</v>
      </c>
      <c r="O15" s="17" t="s">
        <v>249</v>
      </c>
      <c r="P15" s="17" t="s">
        <v>252</v>
      </c>
      <c r="Q15" s="17" t="s">
        <v>93</v>
      </c>
      <c r="R15" s="17" t="s">
        <v>484</v>
      </c>
      <c r="S15" s="17" t="s">
        <v>29</v>
      </c>
      <c r="T15" s="17" t="s">
        <v>524</v>
      </c>
      <c r="U15" s="17" t="s">
        <v>525</v>
      </c>
      <c r="V15" s="17" t="s">
        <v>526</v>
      </c>
      <c r="W15" s="17" t="s">
        <v>260</v>
      </c>
      <c r="X15" s="17" t="s">
        <v>333</v>
      </c>
      <c r="Y15" s="17" t="s">
        <v>261</v>
      </c>
      <c r="Z15" s="17" t="s">
        <v>151</v>
      </c>
      <c r="AA15" s="17" t="s">
        <v>162</v>
      </c>
      <c r="AB15" s="17" t="s">
        <v>396</v>
      </c>
      <c r="AC15" s="19" t="s">
        <v>38</v>
      </c>
      <c r="AD15" s="20" t="s">
        <v>350</v>
      </c>
      <c r="AE15" s="21" t="s">
        <v>174</v>
      </c>
      <c r="AF15" s="23" t="s">
        <v>272</v>
      </c>
    </row>
    <row r="16" ht="43.5" customHeight="1">
      <c r="A16" s="17" t="s">
        <v>529</v>
      </c>
      <c r="B16" s="17">
        <v>12.0</v>
      </c>
      <c r="C16" s="17" t="s">
        <v>312</v>
      </c>
      <c r="D16" s="17">
        <v>1.0</v>
      </c>
      <c r="E16" s="17" t="s">
        <v>314</v>
      </c>
      <c r="F16" s="17" t="s">
        <v>20</v>
      </c>
      <c r="G16" s="17">
        <v>10.0</v>
      </c>
      <c r="H16" s="17" t="s">
        <v>123</v>
      </c>
      <c r="I16" s="17" t="s">
        <v>531</v>
      </c>
      <c r="J16" s="17" t="s">
        <v>533</v>
      </c>
      <c r="K16" s="17" t="s">
        <v>432</v>
      </c>
      <c r="L16" s="17" t="s">
        <v>432</v>
      </c>
      <c r="M16" s="17" t="s">
        <v>411</v>
      </c>
      <c r="N16" s="17"/>
      <c r="O16" s="17" t="s">
        <v>324</v>
      </c>
      <c r="P16" s="17" t="s">
        <v>325</v>
      </c>
      <c r="Q16" s="17" t="s">
        <v>326</v>
      </c>
      <c r="R16" s="17" t="s">
        <v>136</v>
      </c>
      <c r="S16" s="17" t="s">
        <v>29</v>
      </c>
      <c r="T16" s="17" t="s">
        <v>433</v>
      </c>
      <c r="U16" s="17" t="s">
        <v>535</v>
      </c>
      <c r="V16" s="17" t="s">
        <v>435</v>
      </c>
      <c r="W16" s="17" t="s">
        <v>209</v>
      </c>
      <c r="X16" s="17" t="s">
        <v>333</v>
      </c>
      <c r="Y16" s="17" t="s">
        <v>149</v>
      </c>
      <c r="Z16" s="17" t="s">
        <v>151</v>
      </c>
      <c r="AA16" s="17" t="s">
        <v>162</v>
      </c>
      <c r="AB16" s="17" t="s">
        <v>341</v>
      </c>
      <c r="AC16" s="19" t="s">
        <v>38</v>
      </c>
      <c r="AD16" s="20" t="s">
        <v>350</v>
      </c>
      <c r="AE16" s="21" t="s">
        <v>174</v>
      </c>
      <c r="AF16" s="24" t="s">
        <v>315</v>
      </c>
    </row>
    <row r="17" ht="43.5" customHeight="1">
      <c r="A17" s="17" t="s">
        <v>539</v>
      </c>
      <c r="B17" s="17">
        <v>13.0</v>
      </c>
      <c r="C17" s="17" t="s">
        <v>312</v>
      </c>
      <c r="D17" s="17">
        <v>1.0</v>
      </c>
      <c r="E17" s="17" t="s">
        <v>314</v>
      </c>
      <c r="F17" s="17" t="s">
        <v>20</v>
      </c>
      <c r="G17" s="17">
        <v>11.0</v>
      </c>
      <c r="H17" s="17" t="s">
        <v>123</v>
      </c>
      <c r="I17" s="17" t="s">
        <v>546</v>
      </c>
      <c r="J17" s="17" t="s">
        <v>548</v>
      </c>
      <c r="K17" s="17" t="s">
        <v>455</v>
      </c>
      <c r="L17" s="17" t="s">
        <v>455</v>
      </c>
      <c r="M17" s="17" t="s">
        <v>432</v>
      </c>
      <c r="N17" s="17"/>
      <c r="O17" s="17" t="s">
        <v>324</v>
      </c>
      <c r="P17" s="17" t="s">
        <v>325</v>
      </c>
      <c r="Q17" s="17" t="s">
        <v>326</v>
      </c>
      <c r="R17" s="17" t="s">
        <v>136</v>
      </c>
      <c r="S17" s="17" t="s">
        <v>29</v>
      </c>
      <c r="T17" s="17" t="s">
        <v>457</v>
      </c>
      <c r="U17" s="17" t="s">
        <v>553</v>
      </c>
      <c r="V17" s="17" t="s">
        <v>459</v>
      </c>
      <c r="W17" s="17" t="s">
        <v>417</v>
      </c>
      <c r="X17" s="17" t="s">
        <v>333</v>
      </c>
      <c r="Y17" s="17" t="s">
        <v>149</v>
      </c>
      <c r="Z17" s="17" t="s">
        <v>151</v>
      </c>
      <c r="AA17" s="17" t="s">
        <v>162</v>
      </c>
      <c r="AB17" s="17" t="s">
        <v>341</v>
      </c>
      <c r="AC17" s="19" t="s">
        <v>38</v>
      </c>
      <c r="AD17" s="20" t="s">
        <v>350</v>
      </c>
      <c r="AE17" s="21" t="s">
        <v>174</v>
      </c>
      <c r="AF17" s="24" t="s">
        <v>315</v>
      </c>
    </row>
    <row r="18" ht="43.5" customHeight="1">
      <c r="A18" s="17" t="s">
        <v>557</v>
      </c>
      <c r="B18" s="17">
        <v>14.0</v>
      </c>
      <c r="C18" s="17" t="s">
        <v>312</v>
      </c>
      <c r="D18" s="17">
        <v>1.0</v>
      </c>
      <c r="E18" s="17" t="s">
        <v>314</v>
      </c>
      <c r="F18" s="17" t="s">
        <v>20</v>
      </c>
      <c r="G18" s="17">
        <v>12.0</v>
      </c>
      <c r="H18" s="17" t="s">
        <v>123</v>
      </c>
      <c r="I18" s="17" t="s">
        <v>558</v>
      </c>
      <c r="J18" s="17" t="s">
        <v>559</v>
      </c>
      <c r="K18" s="17" t="s">
        <v>323</v>
      </c>
      <c r="L18" s="17" t="s">
        <v>323</v>
      </c>
      <c r="M18" s="17" t="s">
        <v>455</v>
      </c>
      <c r="N18" s="17"/>
      <c r="O18" s="17" t="s">
        <v>324</v>
      </c>
      <c r="P18" s="17" t="s">
        <v>325</v>
      </c>
      <c r="Q18" s="17" t="s">
        <v>326</v>
      </c>
      <c r="R18" s="17" t="s">
        <v>136</v>
      </c>
      <c r="S18" s="17" t="s">
        <v>29</v>
      </c>
      <c r="T18" s="17" t="s">
        <v>330</v>
      </c>
      <c r="U18" s="17" t="s">
        <v>561</v>
      </c>
      <c r="V18" s="17" t="s">
        <v>332</v>
      </c>
      <c r="W18" s="17" t="s">
        <v>452</v>
      </c>
      <c r="X18" s="17" t="s">
        <v>333</v>
      </c>
      <c r="Y18" s="17" t="s">
        <v>149</v>
      </c>
      <c r="Z18" s="17" t="s">
        <v>151</v>
      </c>
      <c r="AA18" s="17" t="s">
        <v>162</v>
      </c>
      <c r="AB18" s="17" t="s">
        <v>341</v>
      </c>
      <c r="AC18" s="19" t="s">
        <v>38</v>
      </c>
      <c r="AD18" s="20" t="s">
        <v>350</v>
      </c>
      <c r="AE18" s="21" t="s">
        <v>174</v>
      </c>
      <c r="AF18" s="22" t="s">
        <v>182</v>
      </c>
    </row>
    <row r="19" ht="43.5" customHeight="1">
      <c r="A19" s="17" t="s">
        <v>563</v>
      </c>
      <c r="B19" s="17">
        <v>15.0</v>
      </c>
      <c r="C19" s="17" t="s">
        <v>312</v>
      </c>
      <c r="D19" s="17">
        <v>1.0</v>
      </c>
      <c r="E19" s="17" t="s">
        <v>314</v>
      </c>
      <c r="F19" s="17" t="s">
        <v>20</v>
      </c>
      <c r="G19" s="17">
        <v>16.0</v>
      </c>
      <c r="H19" s="17" t="s">
        <v>564</v>
      </c>
      <c r="I19" s="17" t="s">
        <v>565</v>
      </c>
      <c r="J19" s="17" t="s">
        <v>566</v>
      </c>
      <c r="K19" s="17" t="s">
        <v>567</v>
      </c>
      <c r="L19" s="17" t="s">
        <v>568</v>
      </c>
      <c r="M19" s="17" t="s">
        <v>569</v>
      </c>
      <c r="N19" s="17" t="s">
        <v>571</v>
      </c>
      <c r="O19" s="17" t="s">
        <v>130</v>
      </c>
      <c r="P19" s="17" t="s">
        <v>133</v>
      </c>
      <c r="Q19" s="17" t="s">
        <v>573</v>
      </c>
      <c r="R19" s="17" t="s">
        <v>379</v>
      </c>
      <c r="S19" s="17" t="s">
        <v>82</v>
      </c>
      <c r="T19" s="17" t="s">
        <v>574</v>
      </c>
      <c r="U19" s="17" t="s">
        <v>575</v>
      </c>
      <c r="V19" s="17" t="s">
        <v>577</v>
      </c>
      <c r="W19" s="17" t="s">
        <v>578</v>
      </c>
      <c r="X19" s="17" t="s">
        <v>333</v>
      </c>
      <c r="Y19" s="17" t="s">
        <v>581</v>
      </c>
      <c r="Z19" s="17" t="s">
        <v>151</v>
      </c>
      <c r="AA19" s="17" t="s">
        <v>162</v>
      </c>
      <c r="AB19" s="17" t="s">
        <v>582</v>
      </c>
      <c r="AC19" s="19" t="s">
        <v>38</v>
      </c>
      <c r="AD19" s="20" t="s">
        <v>350</v>
      </c>
      <c r="AE19" s="21" t="s">
        <v>174</v>
      </c>
      <c r="AF19" s="22" t="s">
        <v>182</v>
      </c>
    </row>
    <row r="20" ht="43.5" customHeight="1">
      <c r="A20" s="17" t="s">
        <v>584</v>
      </c>
      <c r="B20" s="17">
        <v>16.0</v>
      </c>
      <c r="C20" s="17" t="s">
        <v>312</v>
      </c>
      <c r="D20" s="17">
        <v>1.0</v>
      </c>
      <c r="E20" s="17" t="s">
        <v>314</v>
      </c>
      <c r="F20" s="17" t="s">
        <v>20</v>
      </c>
      <c r="G20" s="17">
        <v>17.0</v>
      </c>
      <c r="H20" s="17" t="s">
        <v>586</v>
      </c>
      <c r="I20" s="17" t="s">
        <v>588</v>
      </c>
      <c r="J20" s="17" t="s">
        <v>589</v>
      </c>
      <c r="K20" s="17" t="s">
        <v>590</v>
      </c>
      <c r="L20" s="17" t="s">
        <v>455</v>
      </c>
      <c r="M20" s="17" t="s">
        <v>591</v>
      </c>
      <c r="N20" s="17"/>
      <c r="O20" s="17" t="s">
        <v>592</v>
      </c>
      <c r="P20" s="17" t="s">
        <v>593</v>
      </c>
      <c r="Q20" s="17" t="s">
        <v>326</v>
      </c>
      <c r="R20" s="17" t="s">
        <v>136</v>
      </c>
      <c r="S20" s="17" t="s">
        <v>29</v>
      </c>
      <c r="T20" s="17" t="s">
        <v>595</v>
      </c>
      <c r="U20" s="17" t="s">
        <v>561</v>
      </c>
      <c r="V20" s="17" t="s">
        <v>596</v>
      </c>
      <c r="W20" s="17" t="s">
        <v>597</v>
      </c>
      <c r="X20" s="17" t="s">
        <v>333</v>
      </c>
      <c r="Y20" s="17" t="s">
        <v>149</v>
      </c>
      <c r="Z20" s="17" t="s">
        <v>151</v>
      </c>
      <c r="AA20" s="17" t="s">
        <v>162</v>
      </c>
      <c r="AB20" s="17" t="s">
        <v>598</v>
      </c>
      <c r="AC20" s="19" t="s">
        <v>38</v>
      </c>
      <c r="AD20" s="20" t="s">
        <v>350</v>
      </c>
      <c r="AE20" s="21" t="s">
        <v>174</v>
      </c>
      <c r="AF20" s="23" t="s">
        <v>272</v>
      </c>
    </row>
    <row r="21" ht="43.5" customHeight="1">
      <c r="A21" s="17" t="s">
        <v>599</v>
      </c>
      <c r="B21" s="17">
        <v>17.0</v>
      </c>
      <c r="C21" s="17" t="s">
        <v>601</v>
      </c>
      <c r="D21" s="17">
        <v>2.0</v>
      </c>
      <c r="E21" s="17" t="s">
        <v>602</v>
      </c>
      <c r="F21" s="17" t="s">
        <v>276</v>
      </c>
      <c r="G21" s="17">
        <v>1.0</v>
      </c>
      <c r="H21" s="17" t="s">
        <v>123</v>
      </c>
      <c r="I21" s="17" t="s">
        <v>603</v>
      </c>
      <c r="J21" s="17" t="s">
        <v>604</v>
      </c>
      <c r="K21" s="17" t="s">
        <v>605</v>
      </c>
      <c r="L21" s="17" t="s">
        <v>605</v>
      </c>
      <c r="M21" s="17" t="s">
        <v>128</v>
      </c>
      <c r="N21" s="17"/>
      <c r="O21" s="17" t="s">
        <v>324</v>
      </c>
      <c r="P21" s="17" t="s">
        <v>607</v>
      </c>
      <c r="Q21" s="17" t="s">
        <v>608</v>
      </c>
      <c r="R21" s="17" t="s">
        <v>610</v>
      </c>
      <c r="S21" s="17" t="s">
        <v>29</v>
      </c>
      <c r="T21" s="17" t="s">
        <v>611</v>
      </c>
      <c r="U21" s="17" t="s">
        <v>612</v>
      </c>
      <c r="V21" s="17" t="s">
        <v>613</v>
      </c>
      <c r="W21" s="17" t="s">
        <v>145</v>
      </c>
      <c r="X21" s="17" t="s">
        <v>614</v>
      </c>
      <c r="Y21" s="17" t="s">
        <v>615</v>
      </c>
      <c r="Z21" s="17" t="s">
        <v>151</v>
      </c>
      <c r="AA21" s="17" t="s">
        <v>162</v>
      </c>
      <c r="AB21" s="17" t="s">
        <v>341</v>
      </c>
      <c r="AC21" s="19" t="s">
        <v>38</v>
      </c>
      <c r="AD21" s="20" t="s">
        <v>350</v>
      </c>
      <c r="AE21" s="21" t="s">
        <v>174</v>
      </c>
      <c r="AF21" s="22" t="s">
        <v>182</v>
      </c>
    </row>
    <row r="22" ht="43.5" customHeight="1">
      <c r="A22" s="17" t="s">
        <v>617</v>
      </c>
      <c r="B22" s="17">
        <v>18.0</v>
      </c>
      <c r="C22" s="17" t="s">
        <v>601</v>
      </c>
      <c r="D22" s="17">
        <v>2.0</v>
      </c>
      <c r="E22" s="17" t="s">
        <v>602</v>
      </c>
      <c r="F22" s="17" t="s">
        <v>276</v>
      </c>
      <c r="G22" s="17">
        <v>2.0</v>
      </c>
      <c r="H22" s="17" t="s">
        <v>123</v>
      </c>
      <c r="I22" s="17" t="s">
        <v>618</v>
      </c>
      <c r="J22" s="17" t="s">
        <v>619</v>
      </c>
      <c r="K22" s="17" t="s">
        <v>620</v>
      </c>
      <c r="L22" s="17" t="s">
        <v>620</v>
      </c>
      <c r="M22" s="17" t="s">
        <v>605</v>
      </c>
      <c r="N22" s="17"/>
      <c r="O22" s="17" t="s">
        <v>324</v>
      </c>
      <c r="P22" s="17" t="s">
        <v>607</v>
      </c>
      <c r="Q22" s="17" t="s">
        <v>608</v>
      </c>
      <c r="R22" s="17" t="s">
        <v>610</v>
      </c>
      <c r="S22" s="17" t="s">
        <v>29</v>
      </c>
      <c r="T22" s="17" t="s">
        <v>621</v>
      </c>
      <c r="U22" s="17" t="s">
        <v>622</v>
      </c>
      <c r="V22" s="17" t="s">
        <v>623</v>
      </c>
      <c r="W22" s="17" t="s">
        <v>209</v>
      </c>
      <c r="X22" s="17" t="s">
        <v>614</v>
      </c>
      <c r="Y22" s="17" t="s">
        <v>615</v>
      </c>
      <c r="Z22" s="17" t="s">
        <v>151</v>
      </c>
      <c r="AA22" s="17" t="s">
        <v>162</v>
      </c>
      <c r="AB22" s="17" t="s">
        <v>341</v>
      </c>
      <c r="AC22" s="19" t="s">
        <v>38</v>
      </c>
      <c r="AD22" s="20" t="s">
        <v>350</v>
      </c>
      <c r="AE22" s="21" t="s">
        <v>174</v>
      </c>
      <c r="AF22" s="22" t="s">
        <v>182</v>
      </c>
    </row>
    <row r="23" ht="43.5" customHeight="1">
      <c r="A23" s="17" t="s">
        <v>625</v>
      </c>
      <c r="B23" s="17">
        <v>19.0</v>
      </c>
      <c r="C23" s="17" t="s">
        <v>601</v>
      </c>
      <c r="D23" s="17">
        <v>2.0</v>
      </c>
      <c r="E23" s="17" t="s">
        <v>602</v>
      </c>
      <c r="F23" s="17" t="s">
        <v>276</v>
      </c>
      <c r="G23" s="17">
        <v>3.0</v>
      </c>
      <c r="H23" s="17" t="s">
        <v>240</v>
      </c>
      <c r="I23" s="17" t="s">
        <v>626</v>
      </c>
      <c r="J23" s="17" t="s">
        <v>286</v>
      </c>
      <c r="K23" s="17" t="s">
        <v>287</v>
      </c>
      <c r="L23" s="17" t="s">
        <v>287</v>
      </c>
      <c r="M23" s="17" t="s">
        <v>628</v>
      </c>
      <c r="N23" s="17" t="s">
        <v>281</v>
      </c>
      <c r="O23" s="17" t="s">
        <v>249</v>
      </c>
      <c r="P23" s="17" t="s">
        <v>252</v>
      </c>
      <c r="Q23" s="17" t="s">
        <v>288</v>
      </c>
      <c r="R23" s="17" t="s">
        <v>610</v>
      </c>
      <c r="S23" s="17" t="s">
        <v>29</v>
      </c>
      <c r="T23" s="17" t="s">
        <v>631</v>
      </c>
      <c r="U23" s="17" t="s">
        <v>632</v>
      </c>
      <c r="V23" s="17" t="s">
        <v>633</v>
      </c>
      <c r="W23" s="17" t="s">
        <v>260</v>
      </c>
      <c r="X23" s="17" t="s">
        <v>614</v>
      </c>
      <c r="Y23" s="17" t="s">
        <v>261</v>
      </c>
      <c r="Z23" s="17" t="s">
        <v>151</v>
      </c>
      <c r="AA23" s="17" t="s">
        <v>162</v>
      </c>
      <c r="AB23" s="17" t="s">
        <v>634</v>
      </c>
      <c r="AC23" s="19" t="s">
        <v>38</v>
      </c>
      <c r="AD23" s="20" t="s">
        <v>350</v>
      </c>
      <c r="AE23" s="21" t="s">
        <v>174</v>
      </c>
      <c r="AF23" s="23" t="s">
        <v>272</v>
      </c>
    </row>
    <row r="24" ht="43.5" customHeight="1">
      <c r="A24" s="17" t="s">
        <v>635</v>
      </c>
      <c r="B24" s="17">
        <v>20.0</v>
      </c>
      <c r="C24" s="17" t="s">
        <v>601</v>
      </c>
      <c r="D24" s="17">
        <v>2.0</v>
      </c>
      <c r="E24" s="17" t="s">
        <v>602</v>
      </c>
      <c r="F24" s="17" t="s">
        <v>276</v>
      </c>
      <c r="G24" s="17">
        <v>3.0</v>
      </c>
      <c r="H24" s="17" t="s">
        <v>123</v>
      </c>
      <c r="I24" s="17" t="s">
        <v>638</v>
      </c>
      <c r="J24" s="17" t="s">
        <v>639</v>
      </c>
      <c r="K24" s="17" t="s">
        <v>641</v>
      </c>
      <c r="L24" s="17" t="s">
        <v>641</v>
      </c>
      <c r="M24" s="17" t="s">
        <v>620</v>
      </c>
      <c r="N24" s="17"/>
      <c r="O24" s="17" t="s">
        <v>324</v>
      </c>
      <c r="P24" s="17" t="s">
        <v>607</v>
      </c>
      <c r="Q24" s="17" t="s">
        <v>608</v>
      </c>
      <c r="R24" s="17" t="s">
        <v>610</v>
      </c>
      <c r="S24" s="17" t="s">
        <v>29</v>
      </c>
      <c r="T24" s="17" t="s">
        <v>642</v>
      </c>
      <c r="U24" s="17" t="s">
        <v>643</v>
      </c>
      <c r="V24" s="17" t="s">
        <v>644</v>
      </c>
      <c r="W24" s="17" t="s">
        <v>209</v>
      </c>
      <c r="X24" s="17" t="s">
        <v>614</v>
      </c>
      <c r="Y24" s="17" t="s">
        <v>615</v>
      </c>
      <c r="Z24" s="17" t="s">
        <v>151</v>
      </c>
      <c r="AA24" s="17" t="s">
        <v>162</v>
      </c>
      <c r="AB24" s="17" t="s">
        <v>341</v>
      </c>
      <c r="AC24" s="19" t="s">
        <v>38</v>
      </c>
      <c r="AD24" s="20" t="s">
        <v>350</v>
      </c>
      <c r="AE24" s="21" t="s">
        <v>174</v>
      </c>
      <c r="AF24" s="22" t="s">
        <v>182</v>
      </c>
    </row>
    <row r="25" ht="43.5" customHeight="1">
      <c r="A25" s="17" t="s">
        <v>645</v>
      </c>
      <c r="B25" s="17">
        <v>21.0</v>
      </c>
      <c r="C25" s="17" t="s">
        <v>601</v>
      </c>
      <c r="D25" s="17">
        <v>2.0</v>
      </c>
      <c r="E25" s="17" t="s">
        <v>602</v>
      </c>
      <c r="F25" s="17" t="s">
        <v>276</v>
      </c>
      <c r="G25" s="17">
        <v>4.0</v>
      </c>
      <c r="H25" s="17" t="s">
        <v>123</v>
      </c>
      <c r="I25" s="17" t="s">
        <v>647</v>
      </c>
      <c r="J25" s="17" t="s">
        <v>648</v>
      </c>
      <c r="K25" s="17" t="s">
        <v>649</v>
      </c>
      <c r="L25" s="17" t="s">
        <v>649</v>
      </c>
      <c r="M25" s="17" t="s">
        <v>641</v>
      </c>
      <c r="N25" s="17"/>
      <c r="O25" s="17" t="s">
        <v>324</v>
      </c>
      <c r="P25" s="17" t="s">
        <v>607</v>
      </c>
      <c r="Q25" s="17" t="s">
        <v>608</v>
      </c>
      <c r="R25" s="17" t="s">
        <v>610</v>
      </c>
      <c r="S25" s="17" t="s">
        <v>29</v>
      </c>
      <c r="T25" s="17" t="s">
        <v>650</v>
      </c>
      <c r="U25" s="17" t="s">
        <v>651</v>
      </c>
      <c r="V25" s="17" t="s">
        <v>653</v>
      </c>
      <c r="W25" s="17" t="s">
        <v>209</v>
      </c>
      <c r="X25" s="17" t="s">
        <v>614</v>
      </c>
      <c r="Y25" s="17" t="s">
        <v>615</v>
      </c>
      <c r="Z25" s="17" t="s">
        <v>151</v>
      </c>
      <c r="AA25" s="17" t="s">
        <v>162</v>
      </c>
      <c r="AB25" s="17" t="s">
        <v>341</v>
      </c>
      <c r="AC25" s="19" t="s">
        <v>38</v>
      </c>
      <c r="AD25" s="20" t="s">
        <v>350</v>
      </c>
      <c r="AE25" s="21" t="s">
        <v>174</v>
      </c>
      <c r="AF25" s="22" t="s">
        <v>182</v>
      </c>
    </row>
    <row r="26" ht="43.5" customHeight="1">
      <c r="A26" s="17" t="s">
        <v>655</v>
      </c>
      <c r="B26" s="17">
        <v>22.0</v>
      </c>
      <c r="C26" s="17" t="s">
        <v>601</v>
      </c>
      <c r="D26" s="17">
        <v>2.0</v>
      </c>
      <c r="E26" s="17" t="s">
        <v>602</v>
      </c>
      <c r="F26" s="17" t="s">
        <v>276</v>
      </c>
      <c r="G26" s="17">
        <v>5.0</v>
      </c>
      <c r="H26" s="17" t="s">
        <v>123</v>
      </c>
      <c r="I26" s="17" t="s">
        <v>657</v>
      </c>
      <c r="J26" s="17" t="s">
        <v>658</v>
      </c>
      <c r="K26" s="17" t="s">
        <v>659</v>
      </c>
      <c r="L26" s="17" t="s">
        <v>659</v>
      </c>
      <c r="M26" s="17" t="s">
        <v>649</v>
      </c>
      <c r="N26" s="17"/>
      <c r="O26" s="17" t="s">
        <v>324</v>
      </c>
      <c r="P26" s="17" t="s">
        <v>607</v>
      </c>
      <c r="Q26" s="17" t="s">
        <v>608</v>
      </c>
      <c r="R26" s="17" t="s">
        <v>610</v>
      </c>
      <c r="S26" s="17" t="s">
        <v>29</v>
      </c>
      <c r="T26" s="17" t="s">
        <v>660</v>
      </c>
      <c r="U26" s="17" t="s">
        <v>661</v>
      </c>
      <c r="V26" s="17" t="s">
        <v>662</v>
      </c>
      <c r="W26" s="17" t="s">
        <v>145</v>
      </c>
      <c r="X26" s="17" t="s">
        <v>614</v>
      </c>
      <c r="Y26" s="17" t="s">
        <v>615</v>
      </c>
      <c r="Z26" s="17" t="s">
        <v>151</v>
      </c>
      <c r="AA26" s="17" t="s">
        <v>162</v>
      </c>
      <c r="AB26" s="17" t="s">
        <v>341</v>
      </c>
      <c r="AC26" s="19" t="s">
        <v>38</v>
      </c>
      <c r="AD26" s="20" t="s">
        <v>350</v>
      </c>
      <c r="AE26" s="21" t="s">
        <v>174</v>
      </c>
      <c r="AF26" s="22" t="s">
        <v>182</v>
      </c>
    </row>
    <row r="27" ht="43.5" customHeight="1">
      <c r="A27" s="17" t="s">
        <v>664</v>
      </c>
      <c r="B27" s="17">
        <v>23.0</v>
      </c>
      <c r="C27" s="17" t="s">
        <v>601</v>
      </c>
      <c r="D27" s="17">
        <v>2.0</v>
      </c>
      <c r="E27" s="17" t="s">
        <v>602</v>
      </c>
      <c r="F27" s="17" t="s">
        <v>276</v>
      </c>
      <c r="G27" s="17">
        <v>7.0</v>
      </c>
      <c r="H27" s="17" t="s">
        <v>240</v>
      </c>
      <c r="I27" s="17" t="s">
        <v>667</v>
      </c>
      <c r="J27" s="17" t="s">
        <v>335</v>
      </c>
      <c r="K27" s="17" t="s">
        <v>336</v>
      </c>
      <c r="L27" s="17" t="s">
        <v>336</v>
      </c>
      <c r="M27" s="17" t="s">
        <v>668</v>
      </c>
      <c r="N27" s="17" t="s">
        <v>328</v>
      </c>
      <c r="O27" s="17" t="s">
        <v>249</v>
      </c>
      <c r="P27" s="17" t="s">
        <v>252</v>
      </c>
      <c r="Q27" s="17" t="s">
        <v>338</v>
      </c>
      <c r="R27" s="17" t="s">
        <v>610</v>
      </c>
      <c r="S27" s="17" t="s">
        <v>29</v>
      </c>
      <c r="T27" s="17" t="s">
        <v>670</v>
      </c>
      <c r="U27" s="17" t="s">
        <v>671</v>
      </c>
      <c r="V27" s="17" t="s">
        <v>672</v>
      </c>
      <c r="W27" s="17" t="s">
        <v>260</v>
      </c>
      <c r="X27" s="17" t="s">
        <v>614</v>
      </c>
      <c r="Y27" s="17" t="s">
        <v>261</v>
      </c>
      <c r="Z27" s="17" t="s">
        <v>151</v>
      </c>
      <c r="AA27" s="17" t="s">
        <v>162</v>
      </c>
      <c r="AB27" s="17" t="s">
        <v>674</v>
      </c>
      <c r="AC27" s="19" t="s">
        <v>38</v>
      </c>
      <c r="AD27" s="20" t="s">
        <v>350</v>
      </c>
      <c r="AE27" s="21" t="s">
        <v>174</v>
      </c>
      <c r="AF27" s="23" t="s">
        <v>272</v>
      </c>
    </row>
    <row r="28" ht="43.5" customHeight="1">
      <c r="A28" s="17" t="s">
        <v>675</v>
      </c>
      <c r="B28" s="17">
        <v>24.0</v>
      </c>
      <c r="C28" s="17" t="s">
        <v>601</v>
      </c>
      <c r="D28" s="17">
        <v>2.0</v>
      </c>
      <c r="E28" s="17" t="s">
        <v>602</v>
      </c>
      <c r="F28" s="17" t="s">
        <v>276</v>
      </c>
      <c r="G28" s="17">
        <v>6.0</v>
      </c>
      <c r="H28" s="17" t="s">
        <v>123</v>
      </c>
      <c r="I28" s="17" t="s">
        <v>678</v>
      </c>
      <c r="J28" s="17" t="s">
        <v>679</v>
      </c>
      <c r="K28" s="17" t="s">
        <v>605</v>
      </c>
      <c r="L28" s="17" t="s">
        <v>605</v>
      </c>
      <c r="M28" s="17" t="s">
        <v>659</v>
      </c>
      <c r="N28" s="17"/>
      <c r="O28" s="17" t="s">
        <v>324</v>
      </c>
      <c r="P28" s="17" t="s">
        <v>607</v>
      </c>
      <c r="Q28" s="17" t="s">
        <v>608</v>
      </c>
      <c r="R28" s="17" t="s">
        <v>610</v>
      </c>
      <c r="S28" s="17" t="s">
        <v>29</v>
      </c>
      <c r="T28" s="17" t="s">
        <v>611</v>
      </c>
      <c r="U28" s="17" t="s">
        <v>681</v>
      </c>
      <c r="V28" s="17" t="s">
        <v>613</v>
      </c>
      <c r="W28" s="17" t="s">
        <v>209</v>
      </c>
      <c r="X28" s="17" t="s">
        <v>614</v>
      </c>
      <c r="Y28" s="17" t="s">
        <v>615</v>
      </c>
      <c r="Z28" s="17" t="s">
        <v>151</v>
      </c>
      <c r="AA28" s="17" t="s">
        <v>162</v>
      </c>
      <c r="AB28" s="17" t="s">
        <v>341</v>
      </c>
      <c r="AC28" s="19" t="s">
        <v>38</v>
      </c>
      <c r="AD28" s="20" t="s">
        <v>350</v>
      </c>
      <c r="AE28" s="21" t="s">
        <v>174</v>
      </c>
      <c r="AF28" s="24" t="s">
        <v>315</v>
      </c>
    </row>
    <row r="29" ht="43.5" customHeight="1">
      <c r="A29" s="17" t="s">
        <v>683</v>
      </c>
      <c r="B29" s="17">
        <v>25.0</v>
      </c>
      <c r="C29" s="17" t="s">
        <v>601</v>
      </c>
      <c r="D29" s="17">
        <v>2.0</v>
      </c>
      <c r="E29" s="17" t="s">
        <v>602</v>
      </c>
      <c r="F29" s="17" t="s">
        <v>276</v>
      </c>
      <c r="G29" s="17">
        <v>7.0</v>
      </c>
      <c r="H29" s="17" t="s">
        <v>123</v>
      </c>
      <c r="I29" s="17" t="s">
        <v>685</v>
      </c>
      <c r="J29" s="17" t="s">
        <v>686</v>
      </c>
      <c r="K29" s="17" t="s">
        <v>620</v>
      </c>
      <c r="L29" s="17" t="s">
        <v>620</v>
      </c>
      <c r="M29" s="17" t="s">
        <v>605</v>
      </c>
      <c r="N29" s="17"/>
      <c r="O29" s="17" t="s">
        <v>324</v>
      </c>
      <c r="P29" s="17" t="s">
        <v>607</v>
      </c>
      <c r="Q29" s="17" t="s">
        <v>608</v>
      </c>
      <c r="R29" s="17" t="s">
        <v>610</v>
      </c>
      <c r="S29" s="17" t="s">
        <v>29</v>
      </c>
      <c r="T29" s="17" t="s">
        <v>621</v>
      </c>
      <c r="U29" s="17" t="s">
        <v>687</v>
      </c>
      <c r="V29" s="17" t="s">
        <v>623</v>
      </c>
      <c r="W29" s="17" t="s">
        <v>209</v>
      </c>
      <c r="X29" s="17" t="s">
        <v>614</v>
      </c>
      <c r="Y29" s="17" t="s">
        <v>615</v>
      </c>
      <c r="Z29" s="17" t="s">
        <v>151</v>
      </c>
      <c r="AA29" s="17" t="s">
        <v>162</v>
      </c>
      <c r="AB29" s="17" t="s">
        <v>341</v>
      </c>
      <c r="AC29" s="19" t="s">
        <v>38</v>
      </c>
      <c r="AD29" s="20" t="s">
        <v>350</v>
      </c>
      <c r="AE29" s="21" t="s">
        <v>174</v>
      </c>
      <c r="AF29" s="24" t="s">
        <v>315</v>
      </c>
    </row>
    <row r="30" ht="43.5" customHeight="1">
      <c r="A30" s="17" t="s">
        <v>688</v>
      </c>
      <c r="B30" s="17">
        <v>26.0</v>
      </c>
      <c r="C30" s="17" t="s">
        <v>601</v>
      </c>
      <c r="D30" s="17">
        <v>2.0</v>
      </c>
      <c r="E30" s="17" t="s">
        <v>602</v>
      </c>
      <c r="F30" s="17" t="s">
        <v>276</v>
      </c>
      <c r="G30" s="17">
        <v>8.0</v>
      </c>
      <c r="H30" s="17" t="s">
        <v>123</v>
      </c>
      <c r="I30" s="17" t="s">
        <v>691</v>
      </c>
      <c r="J30" s="17" t="s">
        <v>693</v>
      </c>
      <c r="K30" s="17" t="s">
        <v>641</v>
      </c>
      <c r="L30" s="17" t="s">
        <v>641</v>
      </c>
      <c r="M30" s="17" t="s">
        <v>620</v>
      </c>
      <c r="N30" s="17"/>
      <c r="O30" s="17" t="s">
        <v>324</v>
      </c>
      <c r="P30" s="17" t="s">
        <v>607</v>
      </c>
      <c r="Q30" s="17" t="s">
        <v>608</v>
      </c>
      <c r="R30" s="17" t="s">
        <v>610</v>
      </c>
      <c r="S30" s="17" t="s">
        <v>29</v>
      </c>
      <c r="T30" s="17" t="s">
        <v>642</v>
      </c>
      <c r="U30" s="17" t="s">
        <v>697</v>
      </c>
      <c r="V30" s="17" t="s">
        <v>644</v>
      </c>
      <c r="W30" s="17" t="s">
        <v>209</v>
      </c>
      <c r="X30" s="17" t="s">
        <v>614</v>
      </c>
      <c r="Y30" s="17" t="s">
        <v>615</v>
      </c>
      <c r="Z30" s="17" t="s">
        <v>151</v>
      </c>
      <c r="AA30" s="17" t="s">
        <v>162</v>
      </c>
      <c r="AB30" s="17" t="s">
        <v>341</v>
      </c>
      <c r="AC30" s="19" t="s">
        <v>38</v>
      </c>
      <c r="AD30" s="20" t="s">
        <v>350</v>
      </c>
      <c r="AE30" s="21" t="s">
        <v>174</v>
      </c>
      <c r="AF30" s="24" t="s">
        <v>315</v>
      </c>
    </row>
    <row r="31" ht="43.5" customHeight="1">
      <c r="A31" s="17" t="s">
        <v>706</v>
      </c>
      <c r="B31" s="17">
        <v>27.0</v>
      </c>
      <c r="C31" s="17" t="s">
        <v>601</v>
      </c>
      <c r="D31" s="17">
        <v>2.0</v>
      </c>
      <c r="E31" s="17" t="s">
        <v>602</v>
      </c>
      <c r="F31" s="17" t="s">
        <v>276</v>
      </c>
      <c r="G31" s="17">
        <v>9.0</v>
      </c>
      <c r="H31" s="17" t="s">
        <v>123</v>
      </c>
      <c r="I31" s="17" t="s">
        <v>707</v>
      </c>
      <c r="J31" s="17" t="s">
        <v>708</v>
      </c>
      <c r="K31" s="17" t="s">
        <v>649</v>
      </c>
      <c r="L31" s="17" t="s">
        <v>649</v>
      </c>
      <c r="M31" s="17" t="s">
        <v>641</v>
      </c>
      <c r="N31" s="17"/>
      <c r="O31" s="17" t="s">
        <v>324</v>
      </c>
      <c r="P31" s="17" t="s">
        <v>607</v>
      </c>
      <c r="Q31" s="17" t="s">
        <v>608</v>
      </c>
      <c r="R31" s="17" t="s">
        <v>610</v>
      </c>
      <c r="S31" s="17" t="s">
        <v>29</v>
      </c>
      <c r="T31" s="17" t="s">
        <v>650</v>
      </c>
      <c r="U31" s="17" t="s">
        <v>712</v>
      </c>
      <c r="V31" s="17" t="s">
        <v>653</v>
      </c>
      <c r="W31" s="17" t="s">
        <v>209</v>
      </c>
      <c r="X31" s="17" t="s">
        <v>614</v>
      </c>
      <c r="Y31" s="17" t="s">
        <v>615</v>
      </c>
      <c r="Z31" s="17" t="s">
        <v>151</v>
      </c>
      <c r="AA31" s="17" t="s">
        <v>162</v>
      </c>
      <c r="AB31" s="17" t="s">
        <v>341</v>
      </c>
      <c r="AC31" s="19" t="s">
        <v>38</v>
      </c>
      <c r="AD31" s="20" t="s">
        <v>350</v>
      </c>
      <c r="AE31" s="21" t="s">
        <v>174</v>
      </c>
      <c r="AF31" s="24" t="s">
        <v>315</v>
      </c>
    </row>
    <row r="32" ht="43.5" customHeight="1">
      <c r="A32" s="17" t="s">
        <v>716</v>
      </c>
      <c r="B32" s="17">
        <v>28.0</v>
      </c>
      <c r="C32" s="17" t="s">
        <v>601</v>
      </c>
      <c r="D32" s="17">
        <v>2.0</v>
      </c>
      <c r="E32" s="17" t="s">
        <v>602</v>
      </c>
      <c r="F32" s="17" t="s">
        <v>276</v>
      </c>
      <c r="G32" s="17">
        <v>10.0</v>
      </c>
      <c r="H32" s="17" t="s">
        <v>123</v>
      </c>
      <c r="I32" s="17" t="s">
        <v>718</v>
      </c>
      <c r="J32" s="17" t="s">
        <v>719</v>
      </c>
      <c r="K32" s="17" t="s">
        <v>659</v>
      </c>
      <c r="L32" s="17" t="s">
        <v>659</v>
      </c>
      <c r="M32" s="17" t="s">
        <v>649</v>
      </c>
      <c r="N32" s="17"/>
      <c r="O32" s="17" t="s">
        <v>324</v>
      </c>
      <c r="P32" s="17" t="s">
        <v>607</v>
      </c>
      <c r="Q32" s="17" t="s">
        <v>608</v>
      </c>
      <c r="R32" s="17" t="s">
        <v>610</v>
      </c>
      <c r="S32" s="17" t="s">
        <v>29</v>
      </c>
      <c r="T32" s="17" t="s">
        <v>660</v>
      </c>
      <c r="U32" s="17" t="s">
        <v>723</v>
      </c>
      <c r="V32" s="17" t="s">
        <v>662</v>
      </c>
      <c r="W32" s="17" t="s">
        <v>417</v>
      </c>
      <c r="X32" s="17" t="s">
        <v>614</v>
      </c>
      <c r="Y32" s="17" t="s">
        <v>615</v>
      </c>
      <c r="Z32" s="17" t="s">
        <v>151</v>
      </c>
      <c r="AA32" s="17" t="s">
        <v>162</v>
      </c>
      <c r="AB32" s="17" t="s">
        <v>341</v>
      </c>
      <c r="AC32" s="19" t="s">
        <v>38</v>
      </c>
      <c r="AD32" s="20" t="s">
        <v>350</v>
      </c>
      <c r="AE32" s="21" t="s">
        <v>174</v>
      </c>
      <c r="AF32" s="24" t="s">
        <v>315</v>
      </c>
    </row>
    <row r="33" ht="43.5" customHeight="1">
      <c r="A33" s="17" t="s">
        <v>727</v>
      </c>
      <c r="B33" s="17">
        <v>29.0</v>
      </c>
      <c r="C33" s="17" t="s">
        <v>601</v>
      </c>
      <c r="D33" s="17">
        <v>2.0</v>
      </c>
      <c r="E33" s="17" t="s">
        <v>602</v>
      </c>
      <c r="F33" s="17" t="s">
        <v>276</v>
      </c>
      <c r="G33" s="17">
        <v>11.0</v>
      </c>
      <c r="H33" s="17" t="s">
        <v>123</v>
      </c>
      <c r="I33" s="17" t="s">
        <v>728</v>
      </c>
      <c r="J33" s="17" t="s">
        <v>729</v>
      </c>
      <c r="K33" s="17" t="s">
        <v>605</v>
      </c>
      <c r="L33" s="17" t="s">
        <v>605</v>
      </c>
      <c r="M33" s="17" t="s">
        <v>659</v>
      </c>
      <c r="N33" s="17"/>
      <c r="O33" s="17" t="s">
        <v>324</v>
      </c>
      <c r="P33" s="17" t="s">
        <v>607</v>
      </c>
      <c r="Q33" s="17" t="s">
        <v>608</v>
      </c>
      <c r="R33" s="17" t="s">
        <v>610</v>
      </c>
      <c r="S33" s="17" t="s">
        <v>29</v>
      </c>
      <c r="T33" s="17" t="s">
        <v>611</v>
      </c>
      <c r="U33" s="17" t="s">
        <v>731</v>
      </c>
      <c r="V33" s="17" t="s">
        <v>613</v>
      </c>
      <c r="W33" s="17" t="s">
        <v>452</v>
      </c>
      <c r="X33" s="17" t="s">
        <v>614</v>
      </c>
      <c r="Y33" s="17" t="s">
        <v>615</v>
      </c>
      <c r="Z33" s="17" t="s">
        <v>151</v>
      </c>
      <c r="AA33" s="17" t="s">
        <v>162</v>
      </c>
      <c r="AB33" s="17" t="s">
        <v>341</v>
      </c>
      <c r="AC33" s="19" t="s">
        <v>38</v>
      </c>
      <c r="AD33" s="20" t="s">
        <v>350</v>
      </c>
      <c r="AE33" s="21" t="s">
        <v>174</v>
      </c>
      <c r="AF33" s="22" t="s">
        <v>182</v>
      </c>
    </row>
    <row r="34" ht="43.5" customHeight="1">
      <c r="A34" s="17" t="s">
        <v>734</v>
      </c>
      <c r="B34" s="17">
        <v>30.0</v>
      </c>
      <c r="C34" s="17" t="s">
        <v>601</v>
      </c>
      <c r="D34" s="17">
        <v>2.0</v>
      </c>
      <c r="E34" s="17" t="s">
        <v>602</v>
      </c>
      <c r="F34" s="17" t="s">
        <v>276</v>
      </c>
      <c r="G34" s="17">
        <v>14.0</v>
      </c>
      <c r="H34" s="17" t="s">
        <v>564</v>
      </c>
      <c r="I34" s="17" t="s">
        <v>738</v>
      </c>
      <c r="J34" s="17" t="s">
        <v>566</v>
      </c>
      <c r="K34" s="17" t="s">
        <v>567</v>
      </c>
      <c r="L34" s="17" t="s">
        <v>568</v>
      </c>
      <c r="M34" s="17" t="s">
        <v>569</v>
      </c>
      <c r="N34" s="17" t="s">
        <v>571</v>
      </c>
      <c r="O34" s="17" t="s">
        <v>130</v>
      </c>
      <c r="P34" s="17" t="s">
        <v>133</v>
      </c>
      <c r="Q34" s="17" t="s">
        <v>573</v>
      </c>
      <c r="R34" s="17" t="s">
        <v>379</v>
      </c>
      <c r="S34" s="17" t="s">
        <v>82</v>
      </c>
      <c r="T34" s="17" t="s">
        <v>574</v>
      </c>
      <c r="U34" s="17" t="s">
        <v>575</v>
      </c>
      <c r="V34" s="17" t="s">
        <v>577</v>
      </c>
      <c r="W34" s="17" t="s">
        <v>578</v>
      </c>
      <c r="X34" s="17" t="s">
        <v>614</v>
      </c>
      <c r="Y34" s="17" t="s">
        <v>581</v>
      </c>
      <c r="Z34" s="17" t="s">
        <v>151</v>
      </c>
      <c r="AA34" s="17" t="s">
        <v>162</v>
      </c>
      <c r="AB34" s="17" t="s">
        <v>582</v>
      </c>
      <c r="AC34" s="19" t="s">
        <v>38</v>
      </c>
      <c r="AD34" s="20" t="s">
        <v>350</v>
      </c>
      <c r="AE34" s="21" t="s">
        <v>174</v>
      </c>
      <c r="AF34" s="22" t="s">
        <v>182</v>
      </c>
    </row>
    <row r="35" ht="43.5" customHeight="1">
      <c r="A35" s="17" t="s">
        <v>741</v>
      </c>
      <c r="B35" s="17">
        <v>31.0</v>
      </c>
      <c r="C35" s="17" t="s">
        <v>742</v>
      </c>
      <c r="D35" s="17">
        <v>3.0</v>
      </c>
      <c r="E35" s="17" t="s">
        <v>743</v>
      </c>
      <c r="F35" s="17" t="s">
        <v>86</v>
      </c>
      <c r="G35" s="17">
        <v>1.0</v>
      </c>
      <c r="H35" s="17" t="s">
        <v>123</v>
      </c>
      <c r="I35" s="17" t="s">
        <v>746</v>
      </c>
      <c r="J35" s="17" t="s">
        <v>748</v>
      </c>
      <c r="K35" s="17" t="s">
        <v>749</v>
      </c>
      <c r="L35" s="17" t="s">
        <v>749</v>
      </c>
      <c r="M35" s="17" t="s">
        <v>128</v>
      </c>
      <c r="N35" s="17"/>
      <c r="O35" s="17" t="s">
        <v>324</v>
      </c>
      <c r="P35" s="17" t="s">
        <v>750</v>
      </c>
      <c r="Q35" s="17" t="s">
        <v>751</v>
      </c>
      <c r="R35" s="17" t="s">
        <v>484</v>
      </c>
      <c r="S35" s="17" t="s">
        <v>232</v>
      </c>
      <c r="T35" s="17" t="s">
        <v>752</v>
      </c>
      <c r="U35" s="17" t="s">
        <v>754</v>
      </c>
      <c r="V35" s="17" t="s">
        <v>756</v>
      </c>
      <c r="W35" s="17" t="s">
        <v>145</v>
      </c>
      <c r="X35" s="17" t="s">
        <v>758</v>
      </c>
      <c r="Y35" s="17" t="s">
        <v>759</v>
      </c>
      <c r="Z35" s="17" t="s">
        <v>151</v>
      </c>
      <c r="AA35" s="17" t="s">
        <v>162</v>
      </c>
      <c r="AB35" s="17" t="s">
        <v>341</v>
      </c>
      <c r="AC35" s="19" t="s">
        <v>38</v>
      </c>
      <c r="AD35" s="20" t="s">
        <v>350</v>
      </c>
      <c r="AE35" s="21" t="s">
        <v>174</v>
      </c>
      <c r="AF35" s="22" t="s">
        <v>182</v>
      </c>
    </row>
    <row r="36" ht="43.5" customHeight="1">
      <c r="A36" s="17" t="s">
        <v>760</v>
      </c>
      <c r="B36" s="17">
        <v>32.0</v>
      </c>
      <c r="C36" s="17" t="s">
        <v>742</v>
      </c>
      <c r="D36" s="17">
        <v>3.0</v>
      </c>
      <c r="E36" s="17" t="s">
        <v>743</v>
      </c>
      <c r="F36" s="17" t="s">
        <v>86</v>
      </c>
      <c r="G36" s="17">
        <v>2.0</v>
      </c>
      <c r="H36" s="17" t="s">
        <v>123</v>
      </c>
      <c r="I36" s="17" t="s">
        <v>762</v>
      </c>
      <c r="J36" s="17" t="s">
        <v>764</v>
      </c>
      <c r="K36" s="17" t="s">
        <v>766</v>
      </c>
      <c r="L36" s="17" t="s">
        <v>766</v>
      </c>
      <c r="M36" s="17" t="s">
        <v>749</v>
      </c>
      <c r="N36" s="17"/>
      <c r="O36" s="17" t="s">
        <v>324</v>
      </c>
      <c r="P36" s="17" t="s">
        <v>750</v>
      </c>
      <c r="Q36" s="17" t="s">
        <v>751</v>
      </c>
      <c r="R36" s="17" t="s">
        <v>484</v>
      </c>
      <c r="S36" s="17" t="s">
        <v>232</v>
      </c>
      <c r="T36" s="17" t="s">
        <v>768</v>
      </c>
      <c r="U36" s="17" t="s">
        <v>769</v>
      </c>
      <c r="V36" s="17" t="s">
        <v>770</v>
      </c>
      <c r="W36" s="17" t="s">
        <v>209</v>
      </c>
      <c r="X36" s="17" t="s">
        <v>758</v>
      </c>
      <c r="Y36" s="17" t="s">
        <v>759</v>
      </c>
      <c r="Z36" s="17" t="s">
        <v>151</v>
      </c>
      <c r="AA36" s="17" t="s">
        <v>162</v>
      </c>
      <c r="AB36" s="17" t="s">
        <v>341</v>
      </c>
      <c r="AC36" s="19" t="s">
        <v>38</v>
      </c>
      <c r="AD36" s="20" t="s">
        <v>350</v>
      </c>
      <c r="AE36" s="21" t="s">
        <v>174</v>
      </c>
      <c r="AF36" s="22" t="s">
        <v>182</v>
      </c>
    </row>
    <row r="37" ht="43.5" customHeight="1">
      <c r="A37" s="17" t="s">
        <v>774</v>
      </c>
      <c r="B37" s="17">
        <v>33.0</v>
      </c>
      <c r="C37" s="17" t="s">
        <v>742</v>
      </c>
      <c r="D37" s="17">
        <v>3.0</v>
      </c>
      <c r="E37" s="17" t="s">
        <v>743</v>
      </c>
      <c r="F37" s="17" t="s">
        <v>86</v>
      </c>
      <c r="G37" s="17">
        <v>3.0</v>
      </c>
      <c r="H37" s="17" t="s">
        <v>240</v>
      </c>
      <c r="I37" s="17" t="s">
        <v>517</v>
      </c>
      <c r="J37" s="17" t="s">
        <v>171</v>
      </c>
      <c r="K37" s="17" t="s">
        <v>172</v>
      </c>
      <c r="L37" s="17" t="s">
        <v>172</v>
      </c>
      <c r="M37" s="17" t="s">
        <v>519</v>
      </c>
      <c r="N37" s="17" t="s">
        <v>169</v>
      </c>
      <c r="O37" s="17" t="s">
        <v>249</v>
      </c>
      <c r="P37" s="17" t="s">
        <v>252</v>
      </c>
      <c r="Q37" s="17" t="s">
        <v>173</v>
      </c>
      <c r="R37" s="17" t="s">
        <v>484</v>
      </c>
      <c r="S37" s="17" t="s">
        <v>82</v>
      </c>
      <c r="T37" s="17" t="s">
        <v>521</v>
      </c>
      <c r="U37" s="17" t="s">
        <v>522</v>
      </c>
      <c r="V37" s="17" t="s">
        <v>776</v>
      </c>
      <c r="W37" s="17" t="s">
        <v>260</v>
      </c>
      <c r="X37" s="17" t="s">
        <v>758</v>
      </c>
      <c r="Y37" s="17" t="s">
        <v>261</v>
      </c>
      <c r="Z37" s="17" t="s">
        <v>151</v>
      </c>
      <c r="AA37" s="17" t="s">
        <v>162</v>
      </c>
      <c r="AB37" s="17" t="s">
        <v>783</v>
      </c>
      <c r="AC37" s="19" t="s">
        <v>38</v>
      </c>
      <c r="AD37" s="20" t="s">
        <v>350</v>
      </c>
      <c r="AE37" s="21" t="s">
        <v>174</v>
      </c>
      <c r="AF37" s="23" t="s">
        <v>272</v>
      </c>
    </row>
    <row r="38" ht="43.5" customHeight="1">
      <c r="A38" s="17" t="s">
        <v>784</v>
      </c>
      <c r="B38" s="17">
        <v>34.0</v>
      </c>
      <c r="C38" s="17" t="s">
        <v>742</v>
      </c>
      <c r="D38" s="17">
        <v>3.0</v>
      </c>
      <c r="E38" s="17" t="s">
        <v>743</v>
      </c>
      <c r="F38" s="17" t="s">
        <v>86</v>
      </c>
      <c r="G38" s="17">
        <v>3.0</v>
      </c>
      <c r="H38" s="17" t="s">
        <v>123</v>
      </c>
      <c r="I38" s="17" t="s">
        <v>786</v>
      </c>
      <c r="J38" s="17" t="s">
        <v>787</v>
      </c>
      <c r="K38" s="17" t="s">
        <v>788</v>
      </c>
      <c r="L38" s="17" t="s">
        <v>788</v>
      </c>
      <c r="M38" s="17" t="s">
        <v>766</v>
      </c>
      <c r="N38" s="17"/>
      <c r="O38" s="17" t="s">
        <v>324</v>
      </c>
      <c r="P38" s="17" t="s">
        <v>750</v>
      </c>
      <c r="Q38" s="17" t="s">
        <v>751</v>
      </c>
      <c r="R38" s="17" t="s">
        <v>484</v>
      </c>
      <c r="S38" s="17" t="s">
        <v>232</v>
      </c>
      <c r="T38" s="17" t="s">
        <v>791</v>
      </c>
      <c r="U38" s="17" t="s">
        <v>792</v>
      </c>
      <c r="V38" s="17" t="s">
        <v>793</v>
      </c>
      <c r="W38" s="17" t="s">
        <v>209</v>
      </c>
      <c r="X38" s="17" t="s">
        <v>758</v>
      </c>
      <c r="Y38" s="17" t="s">
        <v>759</v>
      </c>
      <c r="Z38" s="17" t="s">
        <v>151</v>
      </c>
      <c r="AA38" s="17" t="s">
        <v>162</v>
      </c>
      <c r="AB38" s="17" t="s">
        <v>341</v>
      </c>
      <c r="AC38" s="19" t="s">
        <v>38</v>
      </c>
      <c r="AD38" s="20" t="s">
        <v>350</v>
      </c>
      <c r="AE38" s="21" t="s">
        <v>174</v>
      </c>
      <c r="AF38" s="22" t="s">
        <v>182</v>
      </c>
    </row>
    <row r="39" ht="43.5" customHeight="1">
      <c r="A39" s="17" t="s">
        <v>795</v>
      </c>
      <c r="B39" s="17">
        <v>35.0</v>
      </c>
      <c r="C39" s="17" t="s">
        <v>742</v>
      </c>
      <c r="D39" s="17">
        <v>3.0</v>
      </c>
      <c r="E39" s="17" t="s">
        <v>743</v>
      </c>
      <c r="F39" s="17" t="s">
        <v>86</v>
      </c>
      <c r="G39" s="17">
        <v>4.0</v>
      </c>
      <c r="H39" s="17" t="s">
        <v>123</v>
      </c>
      <c r="I39" s="17" t="s">
        <v>796</v>
      </c>
      <c r="J39" s="17" t="s">
        <v>797</v>
      </c>
      <c r="K39" s="17" t="s">
        <v>798</v>
      </c>
      <c r="L39" s="17" t="s">
        <v>798</v>
      </c>
      <c r="M39" s="17" t="s">
        <v>788</v>
      </c>
      <c r="N39" s="17"/>
      <c r="O39" s="17" t="s">
        <v>324</v>
      </c>
      <c r="P39" s="17" t="s">
        <v>750</v>
      </c>
      <c r="Q39" s="17" t="s">
        <v>751</v>
      </c>
      <c r="R39" s="17" t="s">
        <v>484</v>
      </c>
      <c r="S39" s="17" t="s">
        <v>232</v>
      </c>
      <c r="T39" s="17" t="s">
        <v>800</v>
      </c>
      <c r="U39" s="17" t="s">
        <v>801</v>
      </c>
      <c r="V39" s="17" t="s">
        <v>802</v>
      </c>
      <c r="W39" s="17" t="s">
        <v>209</v>
      </c>
      <c r="X39" s="17" t="s">
        <v>758</v>
      </c>
      <c r="Y39" s="17" t="s">
        <v>759</v>
      </c>
      <c r="Z39" s="17" t="s">
        <v>151</v>
      </c>
      <c r="AA39" s="17" t="s">
        <v>162</v>
      </c>
      <c r="AB39" s="17" t="s">
        <v>341</v>
      </c>
      <c r="AC39" s="19" t="s">
        <v>38</v>
      </c>
      <c r="AD39" s="20" t="s">
        <v>350</v>
      </c>
      <c r="AE39" s="21" t="s">
        <v>174</v>
      </c>
      <c r="AF39" s="22" t="s">
        <v>182</v>
      </c>
    </row>
    <row r="40" ht="43.5" customHeight="1">
      <c r="A40" s="17" t="s">
        <v>805</v>
      </c>
      <c r="B40" s="17">
        <v>36.0</v>
      </c>
      <c r="C40" s="17" t="s">
        <v>742</v>
      </c>
      <c r="D40" s="17">
        <v>3.0</v>
      </c>
      <c r="E40" s="17" t="s">
        <v>743</v>
      </c>
      <c r="F40" s="17" t="s">
        <v>86</v>
      </c>
      <c r="G40" s="17">
        <v>5.0</v>
      </c>
      <c r="H40" s="17" t="s">
        <v>123</v>
      </c>
      <c r="I40" s="17" t="s">
        <v>807</v>
      </c>
      <c r="J40" s="17" t="s">
        <v>808</v>
      </c>
      <c r="K40" s="17" t="s">
        <v>809</v>
      </c>
      <c r="L40" s="17" t="s">
        <v>809</v>
      </c>
      <c r="M40" s="17" t="s">
        <v>798</v>
      </c>
      <c r="N40" s="17"/>
      <c r="O40" s="17" t="s">
        <v>324</v>
      </c>
      <c r="P40" s="17" t="s">
        <v>750</v>
      </c>
      <c r="Q40" s="17" t="s">
        <v>751</v>
      </c>
      <c r="R40" s="17" t="s">
        <v>484</v>
      </c>
      <c r="S40" s="17" t="s">
        <v>232</v>
      </c>
      <c r="T40" s="17" t="s">
        <v>811</v>
      </c>
      <c r="U40" s="17" t="s">
        <v>812</v>
      </c>
      <c r="V40" s="17" t="s">
        <v>813</v>
      </c>
      <c r="W40" s="17" t="s">
        <v>145</v>
      </c>
      <c r="X40" s="17" t="s">
        <v>758</v>
      </c>
      <c r="Y40" s="17" t="s">
        <v>759</v>
      </c>
      <c r="Z40" s="17" t="s">
        <v>151</v>
      </c>
      <c r="AA40" s="17" t="s">
        <v>162</v>
      </c>
      <c r="AB40" s="17" t="s">
        <v>341</v>
      </c>
      <c r="AC40" s="19" t="s">
        <v>38</v>
      </c>
      <c r="AD40" s="20" t="s">
        <v>350</v>
      </c>
      <c r="AE40" s="21" t="s">
        <v>174</v>
      </c>
      <c r="AF40" s="22" t="s">
        <v>182</v>
      </c>
    </row>
    <row r="41" ht="43.5" customHeight="1">
      <c r="A41" s="17" t="s">
        <v>816</v>
      </c>
      <c r="B41" s="17">
        <v>37.0</v>
      </c>
      <c r="C41" s="17" t="s">
        <v>742</v>
      </c>
      <c r="D41" s="17">
        <v>3.0</v>
      </c>
      <c r="E41" s="17" t="s">
        <v>743</v>
      </c>
      <c r="F41" s="17" t="s">
        <v>86</v>
      </c>
      <c r="G41" s="17">
        <v>7.0</v>
      </c>
      <c r="H41" s="17" t="s">
        <v>240</v>
      </c>
      <c r="I41" s="17" t="s">
        <v>817</v>
      </c>
      <c r="J41" s="17" t="s">
        <v>187</v>
      </c>
      <c r="K41" s="17" t="s">
        <v>188</v>
      </c>
      <c r="L41" s="17" t="s">
        <v>188</v>
      </c>
      <c r="M41" s="17" t="s">
        <v>819</v>
      </c>
      <c r="N41" s="17" t="s">
        <v>185</v>
      </c>
      <c r="O41" s="17" t="s">
        <v>249</v>
      </c>
      <c r="P41" s="17" t="s">
        <v>252</v>
      </c>
      <c r="Q41" s="17" t="s">
        <v>189</v>
      </c>
      <c r="R41" s="17" t="s">
        <v>484</v>
      </c>
      <c r="S41" s="17" t="s">
        <v>29</v>
      </c>
      <c r="T41" s="17" t="s">
        <v>820</v>
      </c>
      <c r="U41" s="17" t="s">
        <v>821</v>
      </c>
      <c r="V41" s="17" t="s">
        <v>822</v>
      </c>
      <c r="W41" s="17" t="s">
        <v>260</v>
      </c>
      <c r="X41" s="17" t="s">
        <v>758</v>
      </c>
      <c r="Y41" s="17" t="s">
        <v>261</v>
      </c>
      <c r="Z41" s="17" t="s">
        <v>151</v>
      </c>
      <c r="AA41" s="17" t="s">
        <v>162</v>
      </c>
      <c r="AB41" s="17" t="s">
        <v>783</v>
      </c>
      <c r="AC41" s="19" t="s">
        <v>38</v>
      </c>
      <c r="AD41" s="20" t="s">
        <v>350</v>
      </c>
      <c r="AE41" s="21" t="s">
        <v>174</v>
      </c>
      <c r="AF41" s="23" t="s">
        <v>272</v>
      </c>
    </row>
    <row r="42" ht="43.5" customHeight="1">
      <c r="A42" s="17" t="s">
        <v>824</v>
      </c>
      <c r="B42" s="17">
        <v>38.0</v>
      </c>
      <c r="C42" s="17" t="s">
        <v>742</v>
      </c>
      <c r="D42" s="17">
        <v>3.0</v>
      </c>
      <c r="E42" s="17" t="s">
        <v>743</v>
      </c>
      <c r="F42" s="17" t="s">
        <v>86</v>
      </c>
      <c r="G42" s="17">
        <v>6.0</v>
      </c>
      <c r="H42" s="17" t="s">
        <v>123</v>
      </c>
      <c r="I42" s="17" t="s">
        <v>828</v>
      </c>
      <c r="J42" s="17" t="s">
        <v>829</v>
      </c>
      <c r="K42" s="17" t="s">
        <v>749</v>
      </c>
      <c r="L42" s="17" t="s">
        <v>749</v>
      </c>
      <c r="M42" s="17" t="s">
        <v>809</v>
      </c>
      <c r="N42" s="17"/>
      <c r="O42" s="17" t="s">
        <v>324</v>
      </c>
      <c r="P42" s="17" t="s">
        <v>750</v>
      </c>
      <c r="Q42" s="17" t="s">
        <v>751</v>
      </c>
      <c r="R42" s="17" t="s">
        <v>484</v>
      </c>
      <c r="S42" s="17" t="s">
        <v>232</v>
      </c>
      <c r="T42" s="17" t="s">
        <v>752</v>
      </c>
      <c r="U42" s="17" t="s">
        <v>831</v>
      </c>
      <c r="V42" s="17" t="s">
        <v>756</v>
      </c>
      <c r="W42" s="17" t="s">
        <v>209</v>
      </c>
      <c r="X42" s="17" t="s">
        <v>758</v>
      </c>
      <c r="Y42" s="17" t="s">
        <v>759</v>
      </c>
      <c r="Z42" s="17" t="s">
        <v>151</v>
      </c>
      <c r="AA42" s="17" t="s">
        <v>162</v>
      </c>
      <c r="AB42" s="17" t="s">
        <v>341</v>
      </c>
      <c r="AC42" s="19" t="s">
        <v>38</v>
      </c>
      <c r="AD42" s="20" t="s">
        <v>350</v>
      </c>
      <c r="AE42" s="21" t="s">
        <v>174</v>
      </c>
      <c r="AF42" s="24" t="s">
        <v>315</v>
      </c>
    </row>
    <row r="43" ht="43.5" customHeight="1">
      <c r="A43" s="17" t="s">
        <v>834</v>
      </c>
      <c r="B43" s="17">
        <v>39.0</v>
      </c>
      <c r="C43" s="17" t="s">
        <v>742</v>
      </c>
      <c r="D43" s="17">
        <v>3.0</v>
      </c>
      <c r="E43" s="17" t="s">
        <v>743</v>
      </c>
      <c r="F43" s="17" t="s">
        <v>86</v>
      </c>
      <c r="G43" s="17">
        <v>7.0</v>
      </c>
      <c r="H43" s="17" t="s">
        <v>123</v>
      </c>
      <c r="I43" s="17" t="s">
        <v>835</v>
      </c>
      <c r="J43" s="17" t="s">
        <v>836</v>
      </c>
      <c r="K43" s="17" t="s">
        <v>766</v>
      </c>
      <c r="L43" s="17" t="s">
        <v>766</v>
      </c>
      <c r="M43" s="17" t="s">
        <v>749</v>
      </c>
      <c r="N43" s="17"/>
      <c r="O43" s="17" t="s">
        <v>324</v>
      </c>
      <c r="P43" s="17" t="s">
        <v>750</v>
      </c>
      <c r="Q43" s="17" t="s">
        <v>751</v>
      </c>
      <c r="R43" s="17" t="s">
        <v>484</v>
      </c>
      <c r="S43" s="17" t="s">
        <v>232</v>
      </c>
      <c r="T43" s="17" t="s">
        <v>768</v>
      </c>
      <c r="U43" s="17" t="s">
        <v>838</v>
      </c>
      <c r="V43" s="17" t="s">
        <v>770</v>
      </c>
      <c r="W43" s="17" t="s">
        <v>209</v>
      </c>
      <c r="X43" s="17" t="s">
        <v>758</v>
      </c>
      <c r="Y43" s="17" t="s">
        <v>759</v>
      </c>
      <c r="Z43" s="17" t="s">
        <v>151</v>
      </c>
      <c r="AA43" s="17" t="s">
        <v>162</v>
      </c>
      <c r="AB43" s="17" t="s">
        <v>341</v>
      </c>
      <c r="AC43" s="19" t="s">
        <v>38</v>
      </c>
      <c r="AD43" s="20" t="s">
        <v>350</v>
      </c>
      <c r="AE43" s="21" t="s">
        <v>174</v>
      </c>
      <c r="AF43" s="24" t="s">
        <v>315</v>
      </c>
    </row>
    <row r="44" ht="43.5" customHeight="1">
      <c r="A44" s="17" t="s">
        <v>841</v>
      </c>
      <c r="B44" s="17">
        <v>40.0</v>
      </c>
      <c r="C44" s="17" t="s">
        <v>742</v>
      </c>
      <c r="D44" s="17">
        <v>3.0</v>
      </c>
      <c r="E44" s="17" t="s">
        <v>743</v>
      </c>
      <c r="F44" s="17" t="s">
        <v>86</v>
      </c>
      <c r="G44" s="17">
        <v>8.0</v>
      </c>
      <c r="H44" s="17" t="s">
        <v>123</v>
      </c>
      <c r="I44" s="17" t="s">
        <v>842</v>
      </c>
      <c r="J44" s="17" t="s">
        <v>843</v>
      </c>
      <c r="K44" s="17" t="s">
        <v>788</v>
      </c>
      <c r="L44" s="17" t="s">
        <v>788</v>
      </c>
      <c r="M44" s="17" t="s">
        <v>766</v>
      </c>
      <c r="N44" s="17"/>
      <c r="O44" s="17" t="s">
        <v>324</v>
      </c>
      <c r="P44" s="17" t="s">
        <v>750</v>
      </c>
      <c r="Q44" s="17" t="s">
        <v>751</v>
      </c>
      <c r="R44" s="17" t="s">
        <v>484</v>
      </c>
      <c r="S44" s="17" t="s">
        <v>232</v>
      </c>
      <c r="T44" s="17" t="s">
        <v>791</v>
      </c>
      <c r="U44" s="17" t="s">
        <v>844</v>
      </c>
      <c r="V44" s="17" t="s">
        <v>793</v>
      </c>
      <c r="W44" s="17" t="s">
        <v>209</v>
      </c>
      <c r="X44" s="17" t="s">
        <v>758</v>
      </c>
      <c r="Y44" s="17" t="s">
        <v>759</v>
      </c>
      <c r="Z44" s="17" t="s">
        <v>151</v>
      </c>
      <c r="AA44" s="17" t="s">
        <v>162</v>
      </c>
      <c r="AB44" s="17" t="s">
        <v>341</v>
      </c>
      <c r="AC44" s="19" t="s">
        <v>38</v>
      </c>
      <c r="AD44" s="20" t="s">
        <v>350</v>
      </c>
      <c r="AE44" s="21" t="s">
        <v>174</v>
      </c>
      <c r="AF44" s="24" t="s">
        <v>315</v>
      </c>
    </row>
    <row r="45" ht="43.5" customHeight="1">
      <c r="A45" s="17" t="s">
        <v>846</v>
      </c>
      <c r="B45" s="17">
        <v>41.0</v>
      </c>
      <c r="C45" s="17" t="s">
        <v>742</v>
      </c>
      <c r="D45" s="17">
        <v>3.0</v>
      </c>
      <c r="E45" s="17" t="s">
        <v>743</v>
      </c>
      <c r="F45" s="17" t="s">
        <v>225</v>
      </c>
      <c r="G45" s="17">
        <v>11.0</v>
      </c>
      <c r="H45" s="17" t="s">
        <v>240</v>
      </c>
      <c r="I45" s="17" t="s">
        <v>732</v>
      </c>
      <c r="J45" s="17" t="s">
        <v>236</v>
      </c>
      <c r="K45" s="17" t="s">
        <v>237</v>
      </c>
      <c r="L45" s="17" t="s">
        <v>237</v>
      </c>
      <c r="M45" s="17" t="s">
        <v>733</v>
      </c>
      <c r="N45" s="17" t="s">
        <v>234</v>
      </c>
      <c r="O45" s="17" t="s">
        <v>249</v>
      </c>
      <c r="P45" s="17" t="s">
        <v>252</v>
      </c>
      <c r="Q45" s="17" t="s">
        <v>239</v>
      </c>
      <c r="R45" s="17" t="s">
        <v>699</v>
      </c>
      <c r="S45" s="17" t="s">
        <v>232</v>
      </c>
      <c r="T45" s="17" t="s">
        <v>735</v>
      </c>
      <c r="U45" s="17" t="s">
        <v>736</v>
      </c>
      <c r="V45" s="17" t="s">
        <v>850</v>
      </c>
      <c r="W45" s="17" t="s">
        <v>260</v>
      </c>
      <c r="X45" s="17" t="s">
        <v>758</v>
      </c>
      <c r="Y45" s="17" t="s">
        <v>261</v>
      </c>
      <c r="Z45" s="17" t="s">
        <v>151</v>
      </c>
      <c r="AA45" s="17" t="s">
        <v>162</v>
      </c>
      <c r="AB45" s="17" t="s">
        <v>783</v>
      </c>
      <c r="AC45" s="19" t="s">
        <v>38</v>
      </c>
      <c r="AD45" s="20" t="s">
        <v>350</v>
      </c>
      <c r="AE45" s="21" t="s">
        <v>174</v>
      </c>
      <c r="AF45" s="23" t="s">
        <v>272</v>
      </c>
    </row>
    <row r="46" ht="43.5" customHeight="1">
      <c r="A46" s="17" t="s">
        <v>852</v>
      </c>
      <c r="B46" s="17">
        <v>42.0</v>
      </c>
      <c r="C46" s="17" t="s">
        <v>742</v>
      </c>
      <c r="D46" s="17">
        <v>3.0</v>
      </c>
      <c r="E46" s="17" t="s">
        <v>743</v>
      </c>
      <c r="F46" s="17" t="s">
        <v>86</v>
      </c>
      <c r="G46" s="17">
        <v>9.0</v>
      </c>
      <c r="H46" s="17" t="s">
        <v>123</v>
      </c>
      <c r="I46" s="17" t="s">
        <v>854</v>
      </c>
      <c r="J46" s="17" t="s">
        <v>855</v>
      </c>
      <c r="K46" s="17" t="s">
        <v>798</v>
      </c>
      <c r="L46" s="17" t="s">
        <v>798</v>
      </c>
      <c r="M46" s="17" t="s">
        <v>788</v>
      </c>
      <c r="N46" s="17"/>
      <c r="O46" s="17" t="s">
        <v>324</v>
      </c>
      <c r="P46" s="17" t="s">
        <v>750</v>
      </c>
      <c r="Q46" s="17" t="s">
        <v>751</v>
      </c>
      <c r="R46" s="17" t="s">
        <v>484</v>
      </c>
      <c r="S46" s="17" t="s">
        <v>232</v>
      </c>
      <c r="T46" s="17" t="s">
        <v>800</v>
      </c>
      <c r="U46" s="17" t="s">
        <v>857</v>
      </c>
      <c r="V46" s="17" t="s">
        <v>802</v>
      </c>
      <c r="W46" s="17" t="s">
        <v>209</v>
      </c>
      <c r="X46" s="17" t="s">
        <v>758</v>
      </c>
      <c r="Y46" s="17" t="s">
        <v>759</v>
      </c>
      <c r="Z46" s="17" t="s">
        <v>151</v>
      </c>
      <c r="AA46" s="17" t="s">
        <v>162</v>
      </c>
      <c r="AB46" s="17" t="s">
        <v>341</v>
      </c>
      <c r="AC46" s="19" t="s">
        <v>38</v>
      </c>
      <c r="AD46" s="20" t="s">
        <v>350</v>
      </c>
      <c r="AE46" s="21" t="s">
        <v>174</v>
      </c>
      <c r="AF46" s="24" t="s">
        <v>315</v>
      </c>
    </row>
    <row r="47" ht="43.5" customHeight="1">
      <c r="A47" s="17" t="s">
        <v>860</v>
      </c>
      <c r="B47" s="17">
        <v>43.0</v>
      </c>
      <c r="C47" s="17" t="s">
        <v>742</v>
      </c>
      <c r="D47" s="17">
        <v>3.0</v>
      </c>
      <c r="E47" s="17" t="s">
        <v>743</v>
      </c>
      <c r="F47" s="17" t="s">
        <v>86</v>
      </c>
      <c r="G47" s="17">
        <v>10.0</v>
      </c>
      <c r="H47" s="17" t="s">
        <v>123</v>
      </c>
      <c r="I47" s="17" t="s">
        <v>861</v>
      </c>
      <c r="J47" s="17" t="s">
        <v>862</v>
      </c>
      <c r="K47" s="17" t="s">
        <v>809</v>
      </c>
      <c r="L47" s="17" t="s">
        <v>809</v>
      </c>
      <c r="M47" s="17" t="s">
        <v>798</v>
      </c>
      <c r="N47" s="17"/>
      <c r="O47" s="17" t="s">
        <v>324</v>
      </c>
      <c r="P47" s="17" t="s">
        <v>750</v>
      </c>
      <c r="Q47" s="17" t="s">
        <v>751</v>
      </c>
      <c r="R47" s="17" t="s">
        <v>484</v>
      </c>
      <c r="S47" s="17" t="s">
        <v>232</v>
      </c>
      <c r="T47" s="17" t="s">
        <v>811</v>
      </c>
      <c r="U47" s="17" t="s">
        <v>863</v>
      </c>
      <c r="V47" s="17" t="s">
        <v>813</v>
      </c>
      <c r="W47" s="17" t="s">
        <v>417</v>
      </c>
      <c r="X47" s="17" t="s">
        <v>758</v>
      </c>
      <c r="Y47" s="17" t="s">
        <v>759</v>
      </c>
      <c r="Z47" s="17" t="s">
        <v>151</v>
      </c>
      <c r="AA47" s="17" t="s">
        <v>162</v>
      </c>
      <c r="AB47" s="17" t="s">
        <v>341</v>
      </c>
      <c r="AC47" s="19" t="s">
        <v>38</v>
      </c>
      <c r="AD47" s="20" t="s">
        <v>350</v>
      </c>
      <c r="AE47" s="21" t="s">
        <v>174</v>
      </c>
      <c r="AF47" s="24" t="s">
        <v>315</v>
      </c>
    </row>
    <row r="48" ht="43.5" customHeight="1">
      <c r="A48" s="17" t="s">
        <v>865</v>
      </c>
      <c r="B48" s="17">
        <v>44.0</v>
      </c>
      <c r="C48" s="17" t="s">
        <v>742</v>
      </c>
      <c r="D48" s="17">
        <v>3.0</v>
      </c>
      <c r="E48" s="17" t="s">
        <v>743</v>
      </c>
      <c r="F48" s="17" t="s">
        <v>86</v>
      </c>
      <c r="G48" s="17">
        <v>11.0</v>
      </c>
      <c r="H48" s="17" t="s">
        <v>123</v>
      </c>
      <c r="I48" s="17" t="s">
        <v>867</v>
      </c>
      <c r="J48" s="17" t="s">
        <v>868</v>
      </c>
      <c r="K48" s="17" t="s">
        <v>749</v>
      </c>
      <c r="L48" s="17" t="s">
        <v>749</v>
      </c>
      <c r="M48" s="17" t="s">
        <v>809</v>
      </c>
      <c r="N48" s="17"/>
      <c r="O48" s="17" t="s">
        <v>324</v>
      </c>
      <c r="P48" s="17" t="s">
        <v>750</v>
      </c>
      <c r="Q48" s="17" t="s">
        <v>751</v>
      </c>
      <c r="R48" s="17" t="s">
        <v>484</v>
      </c>
      <c r="S48" s="17" t="s">
        <v>232</v>
      </c>
      <c r="T48" s="17" t="s">
        <v>752</v>
      </c>
      <c r="U48" s="17" t="s">
        <v>869</v>
      </c>
      <c r="V48" s="17" t="s">
        <v>756</v>
      </c>
      <c r="W48" s="17" t="s">
        <v>452</v>
      </c>
      <c r="X48" s="17" t="s">
        <v>758</v>
      </c>
      <c r="Y48" s="17" t="s">
        <v>759</v>
      </c>
      <c r="Z48" s="17" t="s">
        <v>151</v>
      </c>
      <c r="AA48" s="17" t="s">
        <v>162</v>
      </c>
      <c r="AB48" s="17" t="s">
        <v>341</v>
      </c>
      <c r="AC48" s="19" t="s">
        <v>38</v>
      </c>
      <c r="AD48" s="20" t="s">
        <v>350</v>
      </c>
      <c r="AE48" s="21" t="s">
        <v>174</v>
      </c>
      <c r="AF48" s="22" t="s">
        <v>182</v>
      </c>
    </row>
    <row r="49" ht="43.5" customHeight="1">
      <c r="A49" s="17" t="s">
        <v>873</v>
      </c>
      <c r="B49" s="17">
        <v>45.0</v>
      </c>
      <c r="C49" s="17" t="s">
        <v>742</v>
      </c>
      <c r="D49" s="17">
        <v>3.0</v>
      </c>
      <c r="E49" s="17" t="s">
        <v>743</v>
      </c>
      <c r="F49" s="17" t="s">
        <v>86</v>
      </c>
      <c r="G49" s="17">
        <v>15.0</v>
      </c>
      <c r="H49" s="17" t="s">
        <v>564</v>
      </c>
      <c r="I49" s="17" t="s">
        <v>877</v>
      </c>
      <c r="J49" s="17" t="s">
        <v>566</v>
      </c>
      <c r="K49" s="17" t="s">
        <v>567</v>
      </c>
      <c r="L49" s="17" t="s">
        <v>568</v>
      </c>
      <c r="M49" s="17" t="s">
        <v>569</v>
      </c>
      <c r="N49" s="17" t="s">
        <v>571</v>
      </c>
      <c r="O49" s="17" t="s">
        <v>130</v>
      </c>
      <c r="P49" s="17" t="s">
        <v>133</v>
      </c>
      <c r="Q49" s="17" t="s">
        <v>573</v>
      </c>
      <c r="R49" s="17" t="s">
        <v>379</v>
      </c>
      <c r="S49" s="17" t="s">
        <v>82</v>
      </c>
      <c r="T49" s="17" t="s">
        <v>574</v>
      </c>
      <c r="U49" s="17" t="s">
        <v>575</v>
      </c>
      <c r="V49" s="17" t="s">
        <v>577</v>
      </c>
      <c r="W49" s="17" t="s">
        <v>578</v>
      </c>
      <c r="X49" s="17" t="s">
        <v>758</v>
      </c>
      <c r="Y49" s="17" t="s">
        <v>581</v>
      </c>
      <c r="Z49" s="17" t="s">
        <v>151</v>
      </c>
      <c r="AA49" s="17" t="s">
        <v>162</v>
      </c>
      <c r="AB49" s="17" t="s">
        <v>582</v>
      </c>
      <c r="AC49" s="19" t="s">
        <v>38</v>
      </c>
      <c r="AD49" s="20" t="s">
        <v>350</v>
      </c>
      <c r="AE49" s="21" t="s">
        <v>174</v>
      </c>
      <c r="AF49" s="22" t="s">
        <v>182</v>
      </c>
    </row>
    <row r="50" ht="43.5" customHeight="1">
      <c r="A50" s="17" t="s">
        <v>885</v>
      </c>
      <c r="B50" s="17">
        <v>46.0</v>
      </c>
      <c r="C50" s="17" t="s">
        <v>742</v>
      </c>
      <c r="D50" s="17">
        <v>3.0</v>
      </c>
      <c r="E50" s="17" t="s">
        <v>743</v>
      </c>
      <c r="F50" s="17" t="s">
        <v>86</v>
      </c>
      <c r="G50" s="17">
        <v>16.0</v>
      </c>
      <c r="H50" s="17" t="s">
        <v>586</v>
      </c>
      <c r="I50" s="17" t="s">
        <v>887</v>
      </c>
      <c r="J50" s="17" t="s">
        <v>888</v>
      </c>
      <c r="K50" s="17" t="s">
        <v>889</v>
      </c>
      <c r="L50" s="17" t="s">
        <v>809</v>
      </c>
      <c r="M50" s="17" t="s">
        <v>591</v>
      </c>
      <c r="N50" s="17"/>
      <c r="O50" s="17" t="s">
        <v>592</v>
      </c>
      <c r="P50" s="17" t="s">
        <v>593</v>
      </c>
      <c r="Q50" s="17" t="s">
        <v>751</v>
      </c>
      <c r="R50" s="17" t="s">
        <v>484</v>
      </c>
      <c r="S50" s="17" t="s">
        <v>232</v>
      </c>
      <c r="T50" s="17" t="s">
        <v>595</v>
      </c>
      <c r="U50" s="17" t="s">
        <v>869</v>
      </c>
      <c r="V50" s="17" t="s">
        <v>893</v>
      </c>
      <c r="W50" s="17" t="s">
        <v>597</v>
      </c>
      <c r="X50" s="17" t="s">
        <v>758</v>
      </c>
      <c r="Y50" s="17" t="s">
        <v>759</v>
      </c>
      <c r="Z50" s="17" t="s">
        <v>151</v>
      </c>
      <c r="AA50" s="17" t="s">
        <v>162</v>
      </c>
      <c r="AB50" s="17" t="s">
        <v>598</v>
      </c>
      <c r="AC50" s="19" t="s">
        <v>38</v>
      </c>
      <c r="AD50" s="20" t="s">
        <v>350</v>
      </c>
      <c r="AE50" s="21" t="s">
        <v>174</v>
      </c>
      <c r="AF50" s="23" t="s">
        <v>272</v>
      </c>
    </row>
    <row r="51" ht="43.5" customHeight="1">
      <c r="A51" s="17" t="s">
        <v>897</v>
      </c>
      <c r="B51" s="17">
        <v>47.0</v>
      </c>
      <c r="C51" s="17" t="s">
        <v>898</v>
      </c>
      <c r="D51" s="17">
        <v>4.0</v>
      </c>
      <c r="E51" s="17" t="s">
        <v>899</v>
      </c>
      <c r="F51" s="17" t="s">
        <v>276</v>
      </c>
      <c r="G51" s="17">
        <v>1.0</v>
      </c>
      <c r="H51" s="17" t="s">
        <v>123</v>
      </c>
      <c r="I51" s="17" t="s">
        <v>901</v>
      </c>
      <c r="J51" s="17" t="s">
        <v>902</v>
      </c>
      <c r="K51" s="17" t="s">
        <v>903</v>
      </c>
      <c r="L51" s="17" t="s">
        <v>903</v>
      </c>
      <c r="M51" s="17" t="s">
        <v>128</v>
      </c>
      <c r="N51" s="17"/>
      <c r="O51" s="17" t="s">
        <v>324</v>
      </c>
      <c r="P51" s="17" t="s">
        <v>325</v>
      </c>
      <c r="Q51" s="17" t="s">
        <v>904</v>
      </c>
      <c r="R51" s="17" t="s">
        <v>610</v>
      </c>
      <c r="S51" s="17" t="s">
        <v>29</v>
      </c>
      <c r="T51" s="17" t="s">
        <v>906</v>
      </c>
      <c r="U51" s="17" t="s">
        <v>908</v>
      </c>
      <c r="V51" s="17" t="s">
        <v>909</v>
      </c>
      <c r="W51" s="17" t="s">
        <v>145</v>
      </c>
      <c r="X51" s="17" t="s">
        <v>911</v>
      </c>
      <c r="Y51" s="17" t="s">
        <v>149</v>
      </c>
      <c r="Z51" s="17" t="s">
        <v>151</v>
      </c>
      <c r="AA51" s="17" t="s">
        <v>162</v>
      </c>
      <c r="AB51" s="17" t="s">
        <v>341</v>
      </c>
      <c r="AC51" s="19" t="s">
        <v>38</v>
      </c>
      <c r="AD51" s="20" t="s">
        <v>350</v>
      </c>
      <c r="AE51" s="21" t="s">
        <v>174</v>
      </c>
      <c r="AF51" s="22" t="s">
        <v>182</v>
      </c>
    </row>
    <row r="52" ht="43.5" customHeight="1">
      <c r="A52" s="17" t="s">
        <v>915</v>
      </c>
      <c r="B52" s="17">
        <v>48.0</v>
      </c>
      <c r="C52" s="17" t="s">
        <v>898</v>
      </c>
      <c r="D52" s="17">
        <v>4.0</v>
      </c>
      <c r="E52" s="17" t="s">
        <v>899</v>
      </c>
      <c r="F52" s="17" t="s">
        <v>276</v>
      </c>
      <c r="G52" s="17">
        <v>2.0</v>
      </c>
      <c r="H52" s="17" t="s">
        <v>123</v>
      </c>
      <c r="I52" s="17" t="s">
        <v>917</v>
      </c>
      <c r="J52" s="17" t="s">
        <v>918</v>
      </c>
      <c r="K52" s="17" t="s">
        <v>919</v>
      </c>
      <c r="L52" s="17" t="s">
        <v>919</v>
      </c>
      <c r="M52" s="17" t="s">
        <v>903</v>
      </c>
      <c r="N52" s="17"/>
      <c r="O52" s="17" t="s">
        <v>324</v>
      </c>
      <c r="P52" s="17" t="s">
        <v>325</v>
      </c>
      <c r="Q52" s="17" t="s">
        <v>904</v>
      </c>
      <c r="R52" s="17" t="s">
        <v>610</v>
      </c>
      <c r="S52" s="17" t="s">
        <v>29</v>
      </c>
      <c r="T52" s="17" t="s">
        <v>921</v>
      </c>
      <c r="U52" s="17" t="s">
        <v>922</v>
      </c>
      <c r="V52" s="17" t="s">
        <v>924</v>
      </c>
      <c r="W52" s="17" t="s">
        <v>209</v>
      </c>
      <c r="X52" s="17" t="s">
        <v>911</v>
      </c>
      <c r="Y52" s="17" t="s">
        <v>149</v>
      </c>
      <c r="Z52" s="17" t="s">
        <v>151</v>
      </c>
      <c r="AA52" s="17" t="s">
        <v>162</v>
      </c>
      <c r="AB52" s="17" t="s">
        <v>341</v>
      </c>
      <c r="AC52" s="19" t="s">
        <v>38</v>
      </c>
      <c r="AD52" s="20" t="s">
        <v>350</v>
      </c>
      <c r="AE52" s="21" t="s">
        <v>174</v>
      </c>
      <c r="AF52" s="22" t="s">
        <v>182</v>
      </c>
    </row>
    <row r="53" ht="43.5" customHeight="1">
      <c r="A53" s="17" t="s">
        <v>928</v>
      </c>
      <c r="B53" s="17">
        <v>49.0</v>
      </c>
      <c r="C53" s="17" t="s">
        <v>898</v>
      </c>
      <c r="D53" s="17">
        <v>4.0</v>
      </c>
      <c r="E53" s="17" t="s">
        <v>899</v>
      </c>
      <c r="F53" s="17" t="s">
        <v>276</v>
      </c>
      <c r="G53" s="17">
        <v>3.0</v>
      </c>
      <c r="H53" s="17" t="s">
        <v>240</v>
      </c>
      <c r="I53" s="17" t="s">
        <v>930</v>
      </c>
      <c r="J53" s="17" t="s">
        <v>278</v>
      </c>
      <c r="K53" s="17" t="s">
        <v>279</v>
      </c>
      <c r="L53" s="17" t="s">
        <v>279</v>
      </c>
      <c r="M53" s="17" t="s">
        <v>932</v>
      </c>
      <c r="N53" s="17" t="s">
        <v>275</v>
      </c>
      <c r="O53" s="17" t="s">
        <v>249</v>
      </c>
      <c r="P53" s="17" t="s">
        <v>252</v>
      </c>
      <c r="Q53" s="17" t="s">
        <v>280</v>
      </c>
      <c r="R53" s="17" t="s">
        <v>610</v>
      </c>
      <c r="S53" s="17" t="s">
        <v>29</v>
      </c>
      <c r="T53" s="17" t="s">
        <v>933</v>
      </c>
      <c r="U53" s="17" t="s">
        <v>935</v>
      </c>
      <c r="V53" s="17" t="s">
        <v>937</v>
      </c>
      <c r="W53" s="17" t="s">
        <v>260</v>
      </c>
      <c r="X53" s="17" t="s">
        <v>911</v>
      </c>
      <c r="Y53" s="17" t="s">
        <v>261</v>
      </c>
      <c r="Z53" s="17" t="s">
        <v>151</v>
      </c>
      <c r="AA53" s="17" t="s">
        <v>162</v>
      </c>
      <c r="AB53" s="17" t="s">
        <v>939</v>
      </c>
      <c r="AC53" s="19" t="s">
        <v>38</v>
      </c>
      <c r="AD53" s="20" t="s">
        <v>350</v>
      </c>
      <c r="AE53" s="21" t="s">
        <v>174</v>
      </c>
      <c r="AF53" s="23" t="s">
        <v>272</v>
      </c>
    </row>
    <row r="54" ht="43.5" customHeight="1">
      <c r="A54" s="17" t="s">
        <v>941</v>
      </c>
      <c r="B54" s="17">
        <v>50.0</v>
      </c>
      <c r="C54" s="17" t="s">
        <v>898</v>
      </c>
      <c r="D54" s="17">
        <v>4.0</v>
      </c>
      <c r="E54" s="17" t="s">
        <v>899</v>
      </c>
      <c r="F54" s="17" t="s">
        <v>276</v>
      </c>
      <c r="G54" s="17">
        <v>3.0</v>
      </c>
      <c r="H54" s="17" t="s">
        <v>123</v>
      </c>
      <c r="I54" s="17" t="s">
        <v>944</v>
      </c>
      <c r="J54" s="17" t="s">
        <v>945</v>
      </c>
      <c r="K54" s="17" t="s">
        <v>946</v>
      </c>
      <c r="L54" s="17" t="s">
        <v>946</v>
      </c>
      <c r="M54" s="17" t="s">
        <v>919</v>
      </c>
      <c r="N54" s="17"/>
      <c r="O54" s="17" t="s">
        <v>324</v>
      </c>
      <c r="P54" s="17" t="s">
        <v>325</v>
      </c>
      <c r="Q54" s="17" t="s">
        <v>904</v>
      </c>
      <c r="R54" s="17" t="s">
        <v>610</v>
      </c>
      <c r="S54" s="17" t="s">
        <v>29</v>
      </c>
      <c r="T54" s="17" t="s">
        <v>948</v>
      </c>
      <c r="U54" s="17" t="s">
        <v>949</v>
      </c>
      <c r="V54" s="17" t="s">
        <v>950</v>
      </c>
      <c r="W54" s="17" t="s">
        <v>209</v>
      </c>
      <c r="X54" s="17" t="s">
        <v>911</v>
      </c>
      <c r="Y54" s="17" t="s">
        <v>149</v>
      </c>
      <c r="Z54" s="17" t="s">
        <v>151</v>
      </c>
      <c r="AA54" s="17" t="s">
        <v>162</v>
      </c>
      <c r="AB54" s="17" t="s">
        <v>341</v>
      </c>
      <c r="AC54" s="19" t="s">
        <v>38</v>
      </c>
      <c r="AD54" s="20" t="s">
        <v>350</v>
      </c>
      <c r="AE54" s="21" t="s">
        <v>174</v>
      </c>
      <c r="AF54" s="22" t="s">
        <v>182</v>
      </c>
    </row>
    <row r="55" ht="43.5" customHeight="1">
      <c r="A55" s="17" t="s">
        <v>954</v>
      </c>
      <c r="B55" s="17">
        <v>51.0</v>
      </c>
      <c r="C55" s="17" t="s">
        <v>898</v>
      </c>
      <c r="D55" s="17">
        <v>4.0</v>
      </c>
      <c r="E55" s="17" t="s">
        <v>899</v>
      </c>
      <c r="F55" s="17" t="s">
        <v>276</v>
      </c>
      <c r="G55" s="17">
        <v>4.0</v>
      </c>
      <c r="H55" s="17" t="s">
        <v>123</v>
      </c>
      <c r="I55" s="17" t="s">
        <v>958</v>
      </c>
      <c r="J55" s="17" t="s">
        <v>959</v>
      </c>
      <c r="K55" s="17" t="s">
        <v>960</v>
      </c>
      <c r="L55" s="17" t="s">
        <v>960</v>
      </c>
      <c r="M55" s="17" t="s">
        <v>946</v>
      </c>
      <c r="N55" s="17"/>
      <c r="O55" s="17" t="s">
        <v>324</v>
      </c>
      <c r="P55" s="17" t="s">
        <v>325</v>
      </c>
      <c r="Q55" s="17" t="s">
        <v>904</v>
      </c>
      <c r="R55" s="17" t="s">
        <v>610</v>
      </c>
      <c r="S55" s="17" t="s">
        <v>29</v>
      </c>
      <c r="T55" s="17" t="s">
        <v>961</v>
      </c>
      <c r="U55" s="17" t="s">
        <v>962</v>
      </c>
      <c r="V55" s="17" t="s">
        <v>963</v>
      </c>
      <c r="W55" s="17" t="s">
        <v>209</v>
      </c>
      <c r="X55" s="17" t="s">
        <v>911</v>
      </c>
      <c r="Y55" s="17" t="s">
        <v>149</v>
      </c>
      <c r="Z55" s="17" t="s">
        <v>151</v>
      </c>
      <c r="AA55" s="17" t="s">
        <v>162</v>
      </c>
      <c r="AB55" s="17" t="s">
        <v>341</v>
      </c>
      <c r="AC55" s="19" t="s">
        <v>38</v>
      </c>
      <c r="AD55" s="20" t="s">
        <v>350</v>
      </c>
      <c r="AE55" s="21" t="s">
        <v>174</v>
      </c>
      <c r="AF55" s="22" t="s">
        <v>182</v>
      </c>
    </row>
    <row r="56" ht="43.5" customHeight="1">
      <c r="A56" s="17" t="s">
        <v>967</v>
      </c>
      <c r="B56" s="17">
        <v>52.0</v>
      </c>
      <c r="C56" s="17" t="s">
        <v>898</v>
      </c>
      <c r="D56" s="17">
        <v>4.0</v>
      </c>
      <c r="E56" s="17" t="s">
        <v>899</v>
      </c>
      <c r="F56" s="17" t="s">
        <v>276</v>
      </c>
      <c r="G56" s="17">
        <v>5.0</v>
      </c>
      <c r="H56" s="17" t="s">
        <v>123</v>
      </c>
      <c r="I56" s="17" t="s">
        <v>969</v>
      </c>
      <c r="J56" s="17" t="s">
        <v>970</v>
      </c>
      <c r="K56" s="17" t="s">
        <v>971</v>
      </c>
      <c r="L56" s="17" t="s">
        <v>971</v>
      </c>
      <c r="M56" s="17" t="s">
        <v>960</v>
      </c>
      <c r="N56" s="17"/>
      <c r="O56" s="17" t="s">
        <v>324</v>
      </c>
      <c r="P56" s="17" t="s">
        <v>325</v>
      </c>
      <c r="Q56" s="17" t="s">
        <v>904</v>
      </c>
      <c r="R56" s="17" t="s">
        <v>610</v>
      </c>
      <c r="S56" s="17" t="s">
        <v>29</v>
      </c>
      <c r="T56" s="17" t="s">
        <v>975</v>
      </c>
      <c r="U56" s="17" t="s">
        <v>976</v>
      </c>
      <c r="V56" s="17" t="s">
        <v>977</v>
      </c>
      <c r="W56" s="17" t="s">
        <v>145</v>
      </c>
      <c r="X56" s="17" t="s">
        <v>911</v>
      </c>
      <c r="Y56" s="17" t="s">
        <v>149</v>
      </c>
      <c r="Z56" s="17" t="s">
        <v>151</v>
      </c>
      <c r="AA56" s="17" t="s">
        <v>162</v>
      </c>
      <c r="AB56" s="17" t="s">
        <v>341</v>
      </c>
      <c r="AC56" s="19" t="s">
        <v>38</v>
      </c>
      <c r="AD56" s="20" t="s">
        <v>350</v>
      </c>
      <c r="AE56" s="21" t="s">
        <v>174</v>
      </c>
      <c r="AF56" s="22" t="s">
        <v>182</v>
      </c>
    </row>
    <row r="57" ht="43.5" customHeight="1">
      <c r="A57" s="17" t="s">
        <v>979</v>
      </c>
      <c r="B57" s="17">
        <v>53.0</v>
      </c>
      <c r="C57" s="17" t="s">
        <v>898</v>
      </c>
      <c r="D57" s="17">
        <v>4.0</v>
      </c>
      <c r="E57" s="17" t="s">
        <v>899</v>
      </c>
      <c r="F57" s="17" t="s">
        <v>276</v>
      </c>
      <c r="G57" s="17">
        <v>7.0</v>
      </c>
      <c r="H57" s="17" t="s">
        <v>240</v>
      </c>
      <c r="I57" s="17" t="s">
        <v>980</v>
      </c>
      <c r="J57" s="17" t="s">
        <v>293</v>
      </c>
      <c r="K57" s="17" t="s">
        <v>294</v>
      </c>
      <c r="L57" s="17" t="s">
        <v>294</v>
      </c>
      <c r="M57" s="17" t="s">
        <v>983</v>
      </c>
      <c r="N57" s="17" t="s">
        <v>291</v>
      </c>
      <c r="O57" s="17" t="s">
        <v>249</v>
      </c>
      <c r="P57" s="17" t="s">
        <v>252</v>
      </c>
      <c r="Q57" s="17" t="s">
        <v>296</v>
      </c>
      <c r="R57" s="17" t="s">
        <v>610</v>
      </c>
      <c r="S57" s="17" t="s">
        <v>29</v>
      </c>
      <c r="T57" s="17" t="s">
        <v>984</v>
      </c>
      <c r="U57" s="17" t="s">
        <v>986</v>
      </c>
      <c r="V57" s="17" t="s">
        <v>987</v>
      </c>
      <c r="W57" s="17" t="s">
        <v>260</v>
      </c>
      <c r="X57" s="17" t="s">
        <v>911</v>
      </c>
      <c r="Y57" s="17" t="s">
        <v>261</v>
      </c>
      <c r="Z57" s="17" t="s">
        <v>151</v>
      </c>
      <c r="AA57" s="17" t="s">
        <v>162</v>
      </c>
      <c r="AB57" s="17" t="s">
        <v>988</v>
      </c>
      <c r="AC57" s="19" t="s">
        <v>38</v>
      </c>
      <c r="AD57" s="20" t="s">
        <v>350</v>
      </c>
      <c r="AE57" s="21" t="s">
        <v>174</v>
      </c>
      <c r="AF57" s="23" t="s">
        <v>272</v>
      </c>
    </row>
    <row r="58" ht="43.5" customHeight="1">
      <c r="A58" s="17" t="s">
        <v>990</v>
      </c>
      <c r="B58" s="17">
        <v>54.0</v>
      </c>
      <c r="C58" s="17" t="s">
        <v>898</v>
      </c>
      <c r="D58" s="17">
        <v>4.0</v>
      </c>
      <c r="E58" s="17" t="s">
        <v>899</v>
      </c>
      <c r="F58" s="17" t="s">
        <v>276</v>
      </c>
      <c r="G58" s="17">
        <v>6.0</v>
      </c>
      <c r="H58" s="17" t="s">
        <v>123</v>
      </c>
      <c r="I58" s="17" t="s">
        <v>992</v>
      </c>
      <c r="J58" s="17" t="s">
        <v>993</v>
      </c>
      <c r="K58" s="17" t="s">
        <v>903</v>
      </c>
      <c r="L58" s="17" t="s">
        <v>903</v>
      </c>
      <c r="M58" s="17" t="s">
        <v>971</v>
      </c>
      <c r="N58" s="17"/>
      <c r="O58" s="17" t="s">
        <v>324</v>
      </c>
      <c r="P58" s="17" t="s">
        <v>325</v>
      </c>
      <c r="Q58" s="17" t="s">
        <v>904</v>
      </c>
      <c r="R58" s="17" t="s">
        <v>610</v>
      </c>
      <c r="S58" s="17" t="s">
        <v>29</v>
      </c>
      <c r="T58" s="17" t="s">
        <v>906</v>
      </c>
      <c r="U58" s="17" t="s">
        <v>995</v>
      </c>
      <c r="V58" s="17" t="s">
        <v>909</v>
      </c>
      <c r="W58" s="17" t="s">
        <v>209</v>
      </c>
      <c r="X58" s="17" t="s">
        <v>911</v>
      </c>
      <c r="Y58" s="17" t="s">
        <v>149</v>
      </c>
      <c r="Z58" s="17" t="s">
        <v>151</v>
      </c>
      <c r="AA58" s="17" t="s">
        <v>162</v>
      </c>
      <c r="AB58" s="17" t="s">
        <v>341</v>
      </c>
      <c r="AC58" s="19" t="s">
        <v>38</v>
      </c>
      <c r="AD58" s="20" t="s">
        <v>350</v>
      </c>
      <c r="AE58" s="21" t="s">
        <v>174</v>
      </c>
      <c r="AF58" s="24" t="s">
        <v>315</v>
      </c>
    </row>
    <row r="59" ht="43.5" customHeight="1">
      <c r="A59" s="17" t="s">
        <v>997</v>
      </c>
      <c r="B59" s="17">
        <v>55.0</v>
      </c>
      <c r="C59" s="17" t="s">
        <v>898</v>
      </c>
      <c r="D59" s="17">
        <v>4.0</v>
      </c>
      <c r="E59" s="17" t="s">
        <v>899</v>
      </c>
      <c r="F59" s="17" t="s">
        <v>276</v>
      </c>
      <c r="G59" s="17">
        <v>7.0</v>
      </c>
      <c r="H59" s="17" t="s">
        <v>123</v>
      </c>
      <c r="I59" s="17" t="s">
        <v>999</v>
      </c>
      <c r="J59" s="17" t="s">
        <v>1000</v>
      </c>
      <c r="K59" s="17" t="s">
        <v>919</v>
      </c>
      <c r="L59" s="17" t="s">
        <v>919</v>
      </c>
      <c r="M59" s="17" t="s">
        <v>903</v>
      </c>
      <c r="N59" s="17"/>
      <c r="O59" s="17" t="s">
        <v>324</v>
      </c>
      <c r="P59" s="17" t="s">
        <v>325</v>
      </c>
      <c r="Q59" s="17" t="s">
        <v>904</v>
      </c>
      <c r="R59" s="17" t="s">
        <v>610</v>
      </c>
      <c r="S59" s="17" t="s">
        <v>29</v>
      </c>
      <c r="T59" s="17" t="s">
        <v>921</v>
      </c>
      <c r="U59" s="17" t="s">
        <v>1003</v>
      </c>
      <c r="V59" s="17" t="s">
        <v>924</v>
      </c>
      <c r="W59" s="17" t="s">
        <v>209</v>
      </c>
      <c r="X59" s="17" t="s">
        <v>911</v>
      </c>
      <c r="Y59" s="17" t="s">
        <v>149</v>
      </c>
      <c r="Z59" s="17" t="s">
        <v>151</v>
      </c>
      <c r="AA59" s="17" t="s">
        <v>162</v>
      </c>
      <c r="AB59" s="17" t="s">
        <v>341</v>
      </c>
      <c r="AC59" s="19" t="s">
        <v>38</v>
      </c>
      <c r="AD59" s="20" t="s">
        <v>350</v>
      </c>
      <c r="AE59" s="21" t="s">
        <v>174</v>
      </c>
      <c r="AF59" s="24" t="s">
        <v>315</v>
      </c>
    </row>
    <row r="60" ht="43.5" customHeight="1">
      <c r="A60" s="17" t="s">
        <v>1005</v>
      </c>
      <c r="B60" s="17">
        <v>56.0</v>
      </c>
      <c r="C60" s="17" t="s">
        <v>898</v>
      </c>
      <c r="D60" s="17">
        <v>4.0</v>
      </c>
      <c r="E60" s="17" t="s">
        <v>899</v>
      </c>
      <c r="F60" s="17" t="s">
        <v>276</v>
      </c>
      <c r="G60" s="17">
        <v>8.0</v>
      </c>
      <c r="H60" s="17" t="s">
        <v>123</v>
      </c>
      <c r="I60" s="17" t="s">
        <v>1006</v>
      </c>
      <c r="J60" s="17" t="s">
        <v>1008</v>
      </c>
      <c r="K60" s="17" t="s">
        <v>946</v>
      </c>
      <c r="L60" s="17" t="s">
        <v>946</v>
      </c>
      <c r="M60" s="17" t="s">
        <v>919</v>
      </c>
      <c r="N60" s="17"/>
      <c r="O60" s="17" t="s">
        <v>324</v>
      </c>
      <c r="P60" s="17" t="s">
        <v>325</v>
      </c>
      <c r="Q60" s="17" t="s">
        <v>904</v>
      </c>
      <c r="R60" s="17" t="s">
        <v>610</v>
      </c>
      <c r="S60" s="17" t="s">
        <v>29</v>
      </c>
      <c r="T60" s="17" t="s">
        <v>948</v>
      </c>
      <c r="U60" s="17" t="s">
        <v>1012</v>
      </c>
      <c r="V60" s="17" t="s">
        <v>950</v>
      </c>
      <c r="W60" s="17" t="s">
        <v>209</v>
      </c>
      <c r="X60" s="17" t="s">
        <v>911</v>
      </c>
      <c r="Y60" s="17" t="s">
        <v>149</v>
      </c>
      <c r="Z60" s="17" t="s">
        <v>151</v>
      </c>
      <c r="AA60" s="17" t="s">
        <v>162</v>
      </c>
      <c r="AB60" s="17" t="s">
        <v>341</v>
      </c>
      <c r="AC60" s="19" t="s">
        <v>38</v>
      </c>
      <c r="AD60" s="20" t="s">
        <v>350</v>
      </c>
      <c r="AE60" s="21" t="s">
        <v>174</v>
      </c>
      <c r="AF60" s="24" t="s">
        <v>315</v>
      </c>
    </row>
    <row r="61" ht="43.5" customHeight="1">
      <c r="A61" s="17" t="s">
        <v>1014</v>
      </c>
      <c r="B61" s="17">
        <v>57.0</v>
      </c>
      <c r="C61" s="17" t="s">
        <v>898</v>
      </c>
      <c r="D61" s="17">
        <v>4.0</v>
      </c>
      <c r="E61" s="17" t="s">
        <v>899</v>
      </c>
      <c r="F61" s="17" t="s">
        <v>276</v>
      </c>
      <c r="G61" s="17">
        <v>9.0</v>
      </c>
      <c r="H61" s="17" t="s">
        <v>123</v>
      </c>
      <c r="I61" s="17" t="s">
        <v>1017</v>
      </c>
      <c r="J61" s="17" t="s">
        <v>1018</v>
      </c>
      <c r="K61" s="17" t="s">
        <v>960</v>
      </c>
      <c r="L61" s="17" t="s">
        <v>960</v>
      </c>
      <c r="M61" s="17" t="s">
        <v>946</v>
      </c>
      <c r="N61" s="17"/>
      <c r="O61" s="17" t="s">
        <v>324</v>
      </c>
      <c r="P61" s="17" t="s">
        <v>325</v>
      </c>
      <c r="Q61" s="17" t="s">
        <v>904</v>
      </c>
      <c r="R61" s="17" t="s">
        <v>610</v>
      </c>
      <c r="S61" s="17" t="s">
        <v>29</v>
      </c>
      <c r="T61" s="17" t="s">
        <v>961</v>
      </c>
      <c r="U61" s="17" t="s">
        <v>1020</v>
      </c>
      <c r="V61" s="17" t="s">
        <v>963</v>
      </c>
      <c r="W61" s="17" t="s">
        <v>209</v>
      </c>
      <c r="X61" s="17" t="s">
        <v>911</v>
      </c>
      <c r="Y61" s="17" t="s">
        <v>149</v>
      </c>
      <c r="Z61" s="17" t="s">
        <v>151</v>
      </c>
      <c r="AA61" s="17" t="s">
        <v>162</v>
      </c>
      <c r="AB61" s="17" t="s">
        <v>341</v>
      </c>
      <c r="AC61" s="19" t="s">
        <v>38</v>
      </c>
      <c r="AD61" s="20" t="s">
        <v>350</v>
      </c>
      <c r="AE61" s="21" t="s">
        <v>174</v>
      </c>
      <c r="AF61" s="24" t="s">
        <v>315</v>
      </c>
    </row>
    <row r="62" ht="43.5" customHeight="1">
      <c r="A62" s="17" t="s">
        <v>1023</v>
      </c>
      <c r="B62" s="17">
        <v>58.0</v>
      </c>
      <c r="C62" s="17" t="s">
        <v>898</v>
      </c>
      <c r="D62" s="17">
        <v>4.0</v>
      </c>
      <c r="E62" s="17" t="s">
        <v>899</v>
      </c>
      <c r="F62" s="17" t="s">
        <v>276</v>
      </c>
      <c r="G62" s="17">
        <v>10.0</v>
      </c>
      <c r="H62" s="17" t="s">
        <v>123</v>
      </c>
      <c r="I62" s="17" t="s">
        <v>1025</v>
      </c>
      <c r="J62" s="17" t="s">
        <v>1026</v>
      </c>
      <c r="K62" s="17" t="s">
        <v>971</v>
      </c>
      <c r="L62" s="17" t="s">
        <v>971</v>
      </c>
      <c r="M62" s="17" t="s">
        <v>960</v>
      </c>
      <c r="N62" s="17"/>
      <c r="O62" s="17" t="s">
        <v>324</v>
      </c>
      <c r="P62" s="17" t="s">
        <v>325</v>
      </c>
      <c r="Q62" s="17" t="s">
        <v>904</v>
      </c>
      <c r="R62" s="17" t="s">
        <v>610</v>
      </c>
      <c r="S62" s="17" t="s">
        <v>29</v>
      </c>
      <c r="T62" s="17" t="s">
        <v>975</v>
      </c>
      <c r="U62" s="17" t="s">
        <v>1027</v>
      </c>
      <c r="V62" s="17" t="s">
        <v>977</v>
      </c>
      <c r="W62" s="17" t="s">
        <v>417</v>
      </c>
      <c r="X62" s="17" t="s">
        <v>911</v>
      </c>
      <c r="Y62" s="17" t="s">
        <v>149</v>
      </c>
      <c r="Z62" s="17" t="s">
        <v>151</v>
      </c>
      <c r="AA62" s="17" t="s">
        <v>162</v>
      </c>
      <c r="AB62" s="17" t="s">
        <v>341</v>
      </c>
      <c r="AC62" s="19" t="s">
        <v>38</v>
      </c>
      <c r="AD62" s="20" t="s">
        <v>350</v>
      </c>
      <c r="AE62" s="21" t="s">
        <v>174</v>
      </c>
      <c r="AF62" s="24" t="s">
        <v>315</v>
      </c>
    </row>
    <row r="63" ht="43.5" customHeight="1">
      <c r="A63" s="17" t="s">
        <v>1029</v>
      </c>
      <c r="B63" s="17">
        <v>59.0</v>
      </c>
      <c r="C63" s="17" t="s">
        <v>898</v>
      </c>
      <c r="D63" s="17">
        <v>4.0</v>
      </c>
      <c r="E63" s="17" t="s">
        <v>899</v>
      </c>
      <c r="F63" s="17" t="s">
        <v>276</v>
      </c>
      <c r="G63" s="17">
        <v>11.0</v>
      </c>
      <c r="H63" s="17" t="s">
        <v>123</v>
      </c>
      <c r="I63" s="17" t="s">
        <v>1032</v>
      </c>
      <c r="J63" s="17" t="s">
        <v>1033</v>
      </c>
      <c r="K63" s="17" t="s">
        <v>903</v>
      </c>
      <c r="L63" s="17" t="s">
        <v>903</v>
      </c>
      <c r="M63" s="17" t="s">
        <v>971</v>
      </c>
      <c r="N63" s="17"/>
      <c r="O63" s="17" t="s">
        <v>324</v>
      </c>
      <c r="P63" s="17" t="s">
        <v>325</v>
      </c>
      <c r="Q63" s="17" t="s">
        <v>904</v>
      </c>
      <c r="R63" s="17" t="s">
        <v>610</v>
      </c>
      <c r="S63" s="17" t="s">
        <v>29</v>
      </c>
      <c r="T63" s="17" t="s">
        <v>906</v>
      </c>
      <c r="U63" s="17" t="s">
        <v>1035</v>
      </c>
      <c r="V63" s="17" t="s">
        <v>909</v>
      </c>
      <c r="W63" s="17" t="s">
        <v>452</v>
      </c>
      <c r="X63" s="17" t="s">
        <v>911</v>
      </c>
      <c r="Y63" s="17" t="s">
        <v>149</v>
      </c>
      <c r="Z63" s="17" t="s">
        <v>151</v>
      </c>
      <c r="AA63" s="17" t="s">
        <v>162</v>
      </c>
      <c r="AB63" s="17" t="s">
        <v>341</v>
      </c>
      <c r="AC63" s="19" t="s">
        <v>38</v>
      </c>
      <c r="AD63" s="20" t="s">
        <v>350</v>
      </c>
      <c r="AE63" s="21" t="s">
        <v>174</v>
      </c>
      <c r="AF63" s="22" t="s">
        <v>182</v>
      </c>
    </row>
    <row r="64" ht="43.5" customHeight="1">
      <c r="A64" s="17" t="s">
        <v>1037</v>
      </c>
      <c r="B64" s="17">
        <v>60.0</v>
      </c>
      <c r="C64" s="17" t="s">
        <v>898</v>
      </c>
      <c r="D64" s="17">
        <v>4.0</v>
      </c>
      <c r="E64" s="17" t="s">
        <v>899</v>
      </c>
      <c r="F64" s="17" t="s">
        <v>276</v>
      </c>
      <c r="G64" s="17">
        <v>14.0</v>
      </c>
      <c r="H64" s="17" t="s">
        <v>564</v>
      </c>
      <c r="I64" s="17" t="s">
        <v>1040</v>
      </c>
      <c r="J64" s="17" t="s">
        <v>566</v>
      </c>
      <c r="K64" s="17" t="s">
        <v>567</v>
      </c>
      <c r="L64" s="17" t="s">
        <v>568</v>
      </c>
      <c r="M64" s="17" t="s">
        <v>569</v>
      </c>
      <c r="N64" s="17" t="s">
        <v>571</v>
      </c>
      <c r="O64" s="17" t="s">
        <v>130</v>
      </c>
      <c r="P64" s="17" t="s">
        <v>133</v>
      </c>
      <c r="Q64" s="17" t="s">
        <v>573</v>
      </c>
      <c r="R64" s="17" t="s">
        <v>379</v>
      </c>
      <c r="S64" s="17" t="s">
        <v>82</v>
      </c>
      <c r="T64" s="17" t="s">
        <v>574</v>
      </c>
      <c r="U64" s="17" t="s">
        <v>575</v>
      </c>
      <c r="V64" s="17" t="s">
        <v>577</v>
      </c>
      <c r="W64" s="17" t="s">
        <v>578</v>
      </c>
      <c r="X64" s="17" t="s">
        <v>911</v>
      </c>
      <c r="Y64" s="17" t="s">
        <v>581</v>
      </c>
      <c r="Z64" s="17" t="s">
        <v>151</v>
      </c>
      <c r="AA64" s="17" t="s">
        <v>162</v>
      </c>
      <c r="AB64" s="17" t="s">
        <v>582</v>
      </c>
      <c r="AC64" s="19" t="s">
        <v>38</v>
      </c>
      <c r="AD64" s="20" t="s">
        <v>350</v>
      </c>
      <c r="AE64" s="21" t="s">
        <v>174</v>
      </c>
      <c r="AF64" s="22" t="s">
        <v>182</v>
      </c>
    </row>
    <row r="65" ht="43.5" customHeight="1">
      <c r="A65" s="17" t="s">
        <v>1042</v>
      </c>
      <c r="B65" s="17">
        <v>61.0</v>
      </c>
      <c r="C65" s="17" t="s">
        <v>898</v>
      </c>
      <c r="D65" s="17">
        <v>4.0</v>
      </c>
      <c r="E65" s="17" t="s">
        <v>899</v>
      </c>
      <c r="F65" s="17" t="s">
        <v>276</v>
      </c>
      <c r="G65" s="17">
        <v>15.0</v>
      </c>
      <c r="H65" s="17" t="s">
        <v>586</v>
      </c>
      <c r="I65" s="17" t="s">
        <v>1043</v>
      </c>
      <c r="J65" s="17" t="s">
        <v>1044</v>
      </c>
      <c r="K65" s="17" t="s">
        <v>1045</v>
      </c>
      <c r="L65" s="17" t="s">
        <v>971</v>
      </c>
      <c r="M65" s="17" t="s">
        <v>591</v>
      </c>
      <c r="N65" s="17"/>
      <c r="O65" s="17" t="s">
        <v>592</v>
      </c>
      <c r="P65" s="17" t="s">
        <v>593</v>
      </c>
      <c r="Q65" s="17" t="s">
        <v>904</v>
      </c>
      <c r="R65" s="17" t="s">
        <v>610</v>
      </c>
      <c r="S65" s="17" t="s">
        <v>29</v>
      </c>
      <c r="T65" s="17" t="s">
        <v>595</v>
      </c>
      <c r="U65" s="17" t="s">
        <v>1035</v>
      </c>
      <c r="V65" s="17" t="s">
        <v>1047</v>
      </c>
      <c r="W65" s="17" t="s">
        <v>597</v>
      </c>
      <c r="X65" s="17" t="s">
        <v>911</v>
      </c>
      <c r="Y65" s="17" t="s">
        <v>149</v>
      </c>
      <c r="Z65" s="17" t="s">
        <v>151</v>
      </c>
      <c r="AA65" s="17" t="s">
        <v>162</v>
      </c>
      <c r="AB65" s="17" t="s">
        <v>598</v>
      </c>
      <c r="AC65" s="19" t="s">
        <v>38</v>
      </c>
      <c r="AD65" s="20" t="s">
        <v>350</v>
      </c>
      <c r="AE65" s="21" t="s">
        <v>174</v>
      </c>
      <c r="AF65" s="23" t="s">
        <v>272</v>
      </c>
    </row>
    <row r="66" ht="43.5" customHeight="1">
      <c r="A66" s="17" t="s">
        <v>1048</v>
      </c>
      <c r="B66" s="17">
        <v>62.0</v>
      </c>
      <c r="C66" s="17" t="s">
        <v>1049</v>
      </c>
      <c r="D66" s="17">
        <v>5.0</v>
      </c>
      <c r="E66" s="17" t="s">
        <v>1050</v>
      </c>
      <c r="F66" s="17" t="s">
        <v>86</v>
      </c>
      <c r="G66" s="17">
        <v>1.0</v>
      </c>
      <c r="H66" s="17" t="s">
        <v>123</v>
      </c>
      <c r="I66" s="17" t="s">
        <v>1052</v>
      </c>
      <c r="J66" s="17" t="s">
        <v>1053</v>
      </c>
      <c r="K66" s="17" t="s">
        <v>1054</v>
      </c>
      <c r="L66" s="17" t="s">
        <v>1054</v>
      </c>
      <c r="M66" s="17" t="s">
        <v>128</v>
      </c>
      <c r="N66" s="17"/>
      <c r="O66" s="17" t="s">
        <v>249</v>
      </c>
      <c r="P66" s="17" t="s">
        <v>482</v>
      </c>
      <c r="Q66" s="17" t="s">
        <v>1055</v>
      </c>
      <c r="R66" s="17" t="s">
        <v>484</v>
      </c>
      <c r="S66" s="17" t="s">
        <v>232</v>
      </c>
      <c r="T66" s="17" t="s">
        <v>1056</v>
      </c>
      <c r="U66" s="17" t="s">
        <v>1057</v>
      </c>
      <c r="V66" s="17" t="s">
        <v>1058</v>
      </c>
      <c r="W66" s="17" t="s">
        <v>145</v>
      </c>
      <c r="X66" s="17" t="s">
        <v>1059</v>
      </c>
      <c r="Y66" s="17" t="s">
        <v>704</v>
      </c>
      <c r="Z66" s="17" t="s">
        <v>151</v>
      </c>
      <c r="AA66" s="17" t="s">
        <v>162</v>
      </c>
      <c r="AB66" s="17" t="s">
        <v>341</v>
      </c>
      <c r="AC66" s="19" t="s">
        <v>38</v>
      </c>
      <c r="AD66" s="20" t="s">
        <v>350</v>
      </c>
      <c r="AE66" s="21" t="s">
        <v>174</v>
      </c>
      <c r="AF66" s="22" t="s">
        <v>182</v>
      </c>
    </row>
    <row r="67" ht="43.5" customHeight="1">
      <c r="A67" s="17" t="s">
        <v>1060</v>
      </c>
      <c r="B67" s="17">
        <v>63.0</v>
      </c>
      <c r="C67" s="17" t="s">
        <v>1049</v>
      </c>
      <c r="D67" s="17">
        <v>5.0</v>
      </c>
      <c r="E67" s="17" t="s">
        <v>1050</v>
      </c>
      <c r="F67" s="17" t="s">
        <v>86</v>
      </c>
      <c r="G67" s="17">
        <v>2.0</v>
      </c>
      <c r="H67" s="17" t="s">
        <v>123</v>
      </c>
      <c r="I67" s="17" t="s">
        <v>1064</v>
      </c>
      <c r="J67" s="17" t="s">
        <v>1065</v>
      </c>
      <c r="K67" s="17" t="s">
        <v>1066</v>
      </c>
      <c r="L67" s="17" t="s">
        <v>1066</v>
      </c>
      <c r="M67" s="17" t="s">
        <v>1054</v>
      </c>
      <c r="N67" s="17"/>
      <c r="O67" s="17" t="s">
        <v>249</v>
      </c>
      <c r="P67" s="17" t="s">
        <v>482</v>
      </c>
      <c r="Q67" s="17" t="s">
        <v>1055</v>
      </c>
      <c r="R67" s="17" t="s">
        <v>484</v>
      </c>
      <c r="S67" s="17" t="s">
        <v>232</v>
      </c>
      <c r="T67" s="17" t="s">
        <v>1070</v>
      </c>
      <c r="U67" s="17" t="s">
        <v>1071</v>
      </c>
      <c r="V67" s="17" t="s">
        <v>1073</v>
      </c>
      <c r="W67" s="17" t="s">
        <v>209</v>
      </c>
      <c r="X67" s="17" t="s">
        <v>1059</v>
      </c>
      <c r="Y67" s="17" t="s">
        <v>704</v>
      </c>
      <c r="Z67" s="17" t="s">
        <v>151</v>
      </c>
      <c r="AA67" s="17" t="s">
        <v>162</v>
      </c>
      <c r="AB67" s="17" t="s">
        <v>341</v>
      </c>
      <c r="AC67" s="19" t="s">
        <v>38</v>
      </c>
      <c r="AD67" s="20" t="s">
        <v>350</v>
      </c>
      <c r="AE67" s="21" t="s">
        <v>174</v>
      </c>
      <c r="AF67" s="22" t="s">
        <v>182</v>
      </c>
    </row>
    <row r="68" ht="43.5" customHeight="1">
      <c r="A68" s="17" t="s">
        <v>1079</v>
      </c>
      <c r="B68" s="17">
        <v>64.0</v>
      </c>
      <c r="C68" s="17" t="s">
        <v>1049</v>
      </c>
      <c r="D68" s="17">
        <v>5.0</v>
      </c>
      <c r="E68" s="17" t="s">
        <v>1050</v>
      </c>
      <c r="F68" s="17" t="s">
        <v>86</v>
      </c>
      <c r="G68" s="17">
        <v>3.0</v>
      </c>
      <c r="H68" s="17" t="s">
        <v>240</v>
      </c>
      <c r="I68" s="17" t="s">
        <v>1081</v>
      </c>
      <c r="J68" s="17" t="s">
        <v>217</v>
      </c>
      <c r="K68" s="17" t="s">
        <v>218</v>
      </c>
      <c r="L68" s="17" t="s">
        <v>218</v>
      </c>
      <c r="M68" s="17" t="s">
        <v>1082</v>
      </c>
      <c r="N68" s="17" t="s">
        <v>212</v>
      </c>
      <c r="O68" s="17" t="s">
        <v>249</v>
      </c>
      <c r="P68" s="17" t="s">
        <v>252</v>
      </c>
      <c r="Q68" s="17" t="s">
        <v>219</v>
      </c>
      <c r="R68" s="17" t="s">
        <v>484</v>
      </c>
      <c r="S68" s="17" t="s">
        <v>82</v>
      </c>
      <c r="T68" s="17" t="s">
        <v>1086</v>
      </c>
      <c r="U68" s="17" t="s">
        <v>1087</v>
      </c>
      <c r="V68" s="17" t="s">
        <v>1088</v>
      </c>
      <c r="W68" s="17" t="s">
        <v>260</v>
      </c>
      <c r="X68" s="17" t="s">
        <v>1059</v>
      </c>
      <c r="Y68" s="17" t="s">
        <v>261</v>
      </c>
      <c r="Z68" s="17" t="s">
        <v>151</v>
      </c>
      <c r="AA68" s="17" t="s">
        <v>162</v>
      </c>
      <c r="AB68" s="17" t="s">
        <v>1091</v>
      </c>
      <c r="AC68" s="19" t="s">
        <v>38</v>
      </c>
      <c r="AD68" s="20" t="s">
        <v>350</v>
      </c>
      <c r="AE68" s="21" t="s">
        <v>174</v>
      </c>
      <c r="AF68" s="23" t="s">
        <v>272</v>
      </c>
    </row>
    <row r="69" ht="43.5" customHeight="1">
      <c r="A69" s="17" t="s">
        <v>1093</v>
      </c>
      <c r="B69" s="17">
        <v>65.0</v>
      </c>
      <c r="C69" s="17" t="s">
        <v>1049</v>
      </c>
      <c r="D69" s="17">
        <v>5.0</v>
      </c>
      <c r="E69" s="17" t="s">
        <v>1050</v>
      </c>
      <c r="F69" s="17" t="s">
        <v>86</v>
      </c>
      <c r="G69" s="17">
        <v>3.0</v>
      </c>
      <c r="H69" s="17" t="s">
        <v>123</v>
      </c>
      <c r="I69" s="17" t="s">
        <v>1094</v>
      </c>
      <c r="J69" s="17" t="s">
        <v>1095</v>
      </c>
      <c r="K69" s="17" t="s">
        <v>1096</v>
      </c>
      <c r="L69" s="17" t="s">
        <v>1096</v>
      </c>
      <c r="M69" s="17" t="s">
        <v>1066</v>
      </c>
      <c r="N69" s="17"/>
      <c r="O69" s="17" t="s">
        <v>249</v>
      </c>
      <c r="P69" s="17" t="s">
        <v>482</v>
      </c>
      <c r="Q69" s="17" t="s">
        <v>1055</v>
      </c>
      <c r="R69" s="17" t="s">
        <v>484</v>
      </c>
      <c r="S69" s="17" t="s">
        <v>232</v>
      </c>
      <c r="T69" s="17" t="s">
        <v>1098</v>
      </c>
      <c r="U69" s="17" t="s">
        <v>1099</v>
      </c>
      <c r="V69" s="17" t="s">
        <v>1100</v>
      </c>
      <c r="W69" s="17" t="s">
        <v>209</v>
      </c>
      <c r="X69" s="17" t="s">
        <v>1059</v>
      </c>
      <c r="Y69" s="17" t="s">
        <v>704</v>
      </c>
      <c r="Z69" s="17" t="s">
        <v>151</v>
      </c>
      <c r="AA69" s="17" t="s">
        <v>162</v>
      </c>
      <c r="AB69" s="17" t="s">
        <v>341</v>
      </c>
      <c r="AC69" s="19" t="s">
        <v>38</v>
      </c>
      <c r="AD69" s="20" t="s">
        <v>350</v>
      </c>
      <c r="AE69" s="21" t="s">
        <v>174</v>
      </c>
      <c r="AF69" s="22" t="s">
        <v>182</v>
      </c>
    </row>
    <row r="70" ht="43.5" customHeight="1">
      <c r="A70" s="17" t="s">
        <v>1104</v>
      </c>
      <c r="B70" s="17">
        <v>66.0</v>
      </c>
      <c r="C70" s="17" t="s">
        <v>1049</v>
      </c>
      <c r="D70" s="17">
        <v>5.0</v>
      </c>
      <c r="E70" s="17" t="s">
        <v>1050</v>
      </c>
      <c r="F70" s="17" t="s">
        <v>86</v>
      </c>
      <c r="G70" s="17">
        <v>4.0</v>
      </c>
      <c r="H70" s="17" t="s">
        <v>123</v>
      </c>
      <c r="I70" s="17" t="s">
        <v>1108</v>
      </c>
      <c r="J70" s="17" t="s">
        <v>1109</v>
      </c>
      <c r="K70" s="17" t="s">
        <v>1110</v>
      </c>
      <c r="L70" s="17" t="s">
        <v>1110</v>
      </c>
      <c r="M70" s="17" t="s">
        <v>1096</v>
      </c>
      <c r="N70" s="17"/>
      <c r="O70" s="17" t="s">
        <v>249</v>
      </c>
      <c r="P70" s="17" t="s">
        <v>482</v>
      </c>
      <c r="Q70" s="17" t="s">
        <v>1055</v>
      </c>
      <c r="R70" s="17" t="s">
        <v>484</v>
      </c>
      <c r="S70" s="17" t="s">
        <v>232</v>
      </c>
      <c r="T70" s="17" t="s">
        <v>1111</v>
      </c>
      <c r="U70" s="17" t="s">
        <v>1112</v>
      </c>
      <c r="V70" s="17" t="s">
        <v>1113</v>
      </c>
      <c r="W70" s="17" t="s">
        <v>209</v>
      </c>
      <c r="X70" s="17" t="s">
        <v>1059</v>
      </c>
      <c r="Y70" s="17" t="s">
        <v>704</v>
      </c>
      <c r="Z70" s="17" t="s">
        <v>151</v>
      </c>
      <c r="AA70" s="17" t="s">
        <v>162</v>
      </c>
      <c r="AB70" s="17" t="s">
        <v>341</v>
      </c>
      <c r="AC70" s="19" t="s">
        <v>38</v>
      </c>
      <c r="AD70" s="20" t="s">
        <v>350</v>
      </c>
      <c r="AE70" s="21" t="s">
        <v>174</v>
      </c>
      <c r="AF70" s="22" t="s">
        <v>182</v>
      </c>
    </row>
    <row r="71" ht="43.5" customHeight="1">
      <c r="A71" s="17" t="s">
        <v>1115</v>
      </c>
      <c r="B71" s="17">
        <v>67.0</v>
      </c>
      <c r="C71" s="17" t="s">
        <v>1049</v>
      </c>
      <c r="D71" s="17">
        <v>5.0</v>
      </c>
      <c r="E71" s="17" t="s">
        <v>1050</v>
      </c>
      <c r="F71" s="17" t="s">
        <v>86</v>
      </c>
      <c r="G71" s="17">
        <v>5.0</v>
      </c>
      <c r="H71" s="17" t="s">
        <v>123</v>
      </c>
      <c r="I71" s="17" t="s">
        <v>1116</v>
      </c>
      <c r="J71" s="17" t="s">
        <v>1117</v>
      </c>
      <c r="K71" s="17" t="s">
        <v>1118</v>
      </c>
      <c r="L71" s="17" t="s">
        <v>1118</v>
      </c>
      <c r="M71" s="17" t="s">
        <v>1110</v>
      </c>
      <c r="N71" s="17"/>
      <c r="O71" s="17" t="s">
        <v>249</v>
      </c>
      <c r="P71" s="17" t="s">
        <v>482</v>
      </c>
      <c r="Q71" s="17" t="s">
        <v>1055</v>
      </c>
      <c r="R71" s="17" t="s">
        <v>484</v>
      </c>
      <c r="S71" s="17" t="s">
        <v>232</v>
      </c>
      <c r="T71" s="17" t="s">
        <v>1120</v>
      </c>
      <c r="U71" s="17" t="s">
        <v>1121</v>
      </c>
      <c r="V71" s="17" t="s">
        <v>1122</v>
      </c>
      <c r="W71" s="17" t="s">
        <v>145</v>
      </c>
      <c r="X71" s="17" t="s">
        <v>1059</v>
      </c>
      <c r="Y71" s="17" t="s">
        <v>704</v>
      </c>
      <c r="Z71" s="17" t="s">
        <v>151</v>
      </c>
      <c r="AA71" s="17" t="s">
        <v>162</v>
      </c>
      <c r="AB71" s="17" t="s">
        <v>341</v>
      </c>
      <c r="AC71" s="19" t="s">
        <v>38</v>
      </c>
      <c r="AD71" s="20" t="s">
        <v>350</v>
      </c>
      <c r="AE71" s="21" t="s">
        <v>174</v>
      </c>
      <c r="AF71" s="22" t="s">
        <v>182</v>
      </c>
    </row>
    <row r="72" ht="43.5" customHeight="1">
      <c r="A72" s="17" t="s">
        <v>1125</v>
      </c>
      <c r="B72" s="17">
        <v>68.0</v>
      </c>
      <c r="C72" s="17" t="s">
        <v>1049</v>
      </c>
      <c r="D72" s="17">
        <v>5.0</v>
      </c>
      <c r="E72" s="17" t="s">
        <v>1050</v>
      </c>
      <c r="F72" s="17" t="s">
        <v>225</v>
      </c>
      <c r="G72" s="17">
        <v>7.0</v>
      </c>
      <c r="H72" s="17" t="s">
        <v>240</v>
      </c>
      <c r="I72" s="17" t="s">
        <v>1127</v>
      </c>
      <c r="J72" s="17" t="s">
        <v>228</v>
      </c>
      <c r="K72" s="17" t="s">
        <v>230</v>
      </c>
      <c r="L72" s="17" t="s">
        <v>230</v>
      </c>
      <c r="M72" s="17" t="s">
        <v>1130</v>
      </c>
      <c r="N72" s="17" t="s">
        <v>223</v>
      </c>
      <c r="O72" s="17" t="s">
        <v>249</v>
      </c>
      <c r="P72" s="17" t="s">
        <v>252</v>
      </c>
      <c r="Q72" s="17" t="s">
        <v>231</v>
      </c>
      <c r="R72" s="17" t="s">
        <v>699</v>
      </c>
      <c r="S72" s="17" t="s">
        <v>232</v>
      </c>
      <c r="T72" s="17" t="s">
        <v>1131</v>
      </c>
      <c r="U72" s="17" t="s">
        <v>1135</v>
      </c>
      <c r="V72" s="17" t="s">
        <v>1136</v>
      </c>
      <c r="W72" s="17" t="s">
        <v>260</v>
      </c>
      <c r="X72" s="17" t="s">
        <v>1059</v>
      </c>
      <c r="Y72" s="17" t="s">
        <v>261</v>
      </c>
      <c r="Z72" s="17" t="s">
        <v>151</v>
      </c>
      <c r="AA72" s="17" t="s">
        <v>162</v>
      </c>
      <c r="AB72" s="17" t="s">
        <v>1091</v>
      </c>
      <c r="AC72" s="19" t="s">
        <v>38</v>
      </c>
      <c r="AD72" s="20" t="s">
        <v>350</v>
      </c>
      <c r="AE72" s="21" t="s">
        <v>174</v>
      </c>
      <c r="AF72" s="23" t="s">
        <v>272</v>
      </c>
    </row>
    <row r="73" ht="43.5" customHeight="1">
      <c r="A73" s="17" t="s">
        <v>1137</v>
      </c>
      <c r="B73" s="17">
        <v>69.0</v>
      </c>
      <c r="C73" s="17" t="s">
        <v>1049</v>
      </c>
      <c r="D73" s="17">
        <v>5.0</v>
      </c>
      <c r="E73" s="17" t="s">
        <v>1050</v>
      </c>
      <c r="F73" s="17" t="s">
        <v>86</v>
      </c>
      <c r="G73" s="17">
        <v>6.0</v>
      </c>
      <c r="H73" s="17" t="s">
        <v>123</v>
      </c>
      <c r="I73" s="17" t="s">
        <v>1139</v>
      </c>
      <c r="J73" s="17" t="s">
        <v>1140</v>
      </c>
      <c r="K73" s="17" t="s">
        <v>1054</v>
      </c>
      <c r="L73" s="17" t="s">
        <v>1054</v>
      </c>
      <c r="M73" s="17" t="s">
        <v>1118</v>
      </c>
      <c r="N73" s="17"/>
      <c r="O73" s="17" t="s">
        <v>249</v>
      </c>
      <c r="P73" s="17" t="s">
        <v>482</v>
      </c>
      <c r="Q73" s="17" t="s">
        <v>1055</v>
      </c>
      <c r="R73" s="17" t="s">
        <v>484</v>
      </c>
      <c r="S73" s="17" t="s">
        <v>232</v>
      </c>
      <c r="T73" s="17" t="s">
        <v>1056</v>
      </c>
      <c r="U73" s="17" t="s">
        <v>1144</v>
      </c>
      <c r="V73" s="17" t="s">
        <v>1058</v>
      </c>
      <c r="W73" s="17" t="s">
        <v>209</v>
      </c>
      <c r="X73" s="17" t="s">
        <v>1059</v>
      </c>
      <c r="Y73" s="17" t="s">
        <v>704</v>
      </c>
      <c r="Z73" s="17" t="s">
        <v>151</v>
      </c>
      <c r="AA73" s="17" t="s">
        <v>162</v>
      </c>
      <c r="AB73" s="17" t="s">
        <v>341</v>
      </c>
      <c r="AC73" s="19" t="s">
        <v>38</v>
      </c>
      <c r="AD73" s="20" t="s">
        <v>350</v>
      </c>
      <c r="AE73" s="21" t="s">
        <v>174</v>
      </c>
      <c r="AF73" s="24" t="s">
        <v>315</v>
      </c>
    </row>
    <row r="74" ht="43.5" customHeight="1">
      <c r="A74" s="17" t="s">
        <v>1148</v>
      </c>
      <c r="B74" s="17">
        <v>70.0</v>
      </c>
      <c r="C74" s="17" t="s">
        <v>1049</v>
      </c>
      <c r="D74" s="17">
        <v>5.0</v>
      </c>
      <c r="E74" s="17" t="s">
        <v>1050</v>
      </c>
      <c r="F74" s="17" t="s">
        <v>86</v>
      </c>
      <c r="G74" s="17">
        <v>7.0</v>
      </c>
      <c r="H74" s="17" t="s">
        <v>123</v>
      </c>
      <c r="I74" s="17" t="s">
        <v>1149</v>
      </c>
      <c r="J74" s="17" t="s">
        <v>1150</v>
      </c>
      <c r="K74" s="17" t="s">
        <v>1066</v>
      </c>
      <c r="L74" s="17" t="s">
        <v>1066</v>
      </c>
      <c r="M74" s="17" t="s">
        <v>1054</v>
      </c>
      <c r="N74" s="17"/>
      <c r="O74" s="17" t="s">
        <v>249</v>
      </c>
      <c r="P74" s="17" t="s">
        <v>482</v>
      </c>
      <c r="Q74" s="17" t="s">
        <v>1055</v>
      </c>
      <c r="R74" s="17" t="s">
        <v>484</v>
      </c>
      <c r="S74" s="17" t="s">
        <v>232</v>
      </c>
      <c r="T74" s="17" t="s">
        <v>1070</v>
      </c>
      <c r="U74" s="17" t="s">
        <v>1152</v>
      </c>
      <c r="V74" s="17" t="s">
        <v>1073</v>
      </c>
      <c r="W74" s="17" t="s">
        <v>209</v>
      </c>
      <c r="X74" s="17" t="s">
        <v>1059</v>
      </c>
      <c r="Y74" s="17" t="s">
        <v>704</v>
      </c>
      <c r="Z74" s="17" t="s">
        <v>151</v>
      </c>
      <c r="AA74" s="17" t="s">
        <v>162</v>
      </c>
      <c r="AB74" s="17" t="s">
        <v>341</v>
      </c>
      <c r="AC74" s="19" t="s">
        <v>38</v>
      </c>
      <c r="AD74" s="20" t="s">
        <v>350</v>
      </c>
      <c r="AE74" s="21" t="s">
        <v>174</v>
      </c>
      <c r="AF74" s="24" t="s">
        <v>315</v>
      </c>
    </row>
    <row r="75" ht="43.5" customHeight="1">
      <c r="A75" s="17" t="s">
        <v>1159</v>
      </c>
      <c r="B75" s="17">
        <v>71.0</v>
      </c>
      <c r="C75" s="17" t="s">
        <v>1049</v>
      </c>
      <c r="D75" s="17">
        <v>5.0</v>
      </c>
      <c r="E75" s="17" t="s">
        <v>1050</v>
      </c>
      <c r="F75" s="17" t="s">
        <v>86</v>
      </c>
      <c r="G75" s="17">
        <v>8.0</v>
      </c>
      <c r="H75" s="17" t="s">
        <v>123</v>
      </c>
      <c r="I75" s="17" t="s">
        <v>1161</v>
      </c>
      <c r="J75" s="17" t="s">
        <v>1162</v>
      </c>
      <c r="K75" s="17" t="s">
        <v>1096</v>
      </c>
      <c r="L75" s="17" t="s">
        <v>1096</v>
      </c>
      <c r="M75" s="17" t="s">
        <v>1066</v>
      </c>
      <c r="N75" s="17"/>
      <c r="O75" s="17" t="s">
        <v>249</v>
      </c>
      <c r="P75" s="17" t="s">
        <v>482</v>
      </c>
      <c r="Q75" s="17" t="s">
        <v>1055</v>
      </c>
      <c r="R75" s="17" t="s">
        <v>484</v>
      </c>
      <c r="S75" s="17" t="s">
        <v>232</v>
      </c>
      <c r="T75" s="17" t="s">
        <v>1098</v>
      </c>
      <c r="U75" s="17" t="s">
        <v>1165</v>
      </c>
      <c r="V75" s="17" t="s">
        <v>1100</v>
      </c>
      <c r="W75" s="17" t="s">
        <v>209</v>
      </c>
      <c r="X75" s="17" t="s">
        <v>1059</v>
      </c>
      <c r="Y75" s="17" t="s">
        <v>704</v>
      </c>
      <c r="Z75" s="17" t="s">
        <v>151</v>
      </c>
      <c r="AA75" s="17" t="s">
        <v>162</v>
      </c>
      <c r="AB75" s="17" t="s">
        <v>341</v>
      </c>
      <c r="AC75" s="19" t="s">
        <v>38</v>
      </c>
      <c r="AD75" s="20" t="s">
        <v>350</v>
      </c>
      <c r="AE75" s="21" t="s">
        <v>174</v>
      </c>
      <c r="AF75" s="24" t="s">
        <v>315</v>
      </c>
    </row>
    <row r="76" ht="43.5" customHeight="1">
      <c r="A76" s="17" t="s">
        <v>1167</v>
      </c>
      <c r="B76" s="17">
        <v>72.0</v>
      </c>
      <c r="C76" s="17" t="s">
        <v>1049</v>
      </c>
      <c r="D76" s="17">
        <v>5.0</v>
      </c>
      <c r="E76" s="17" t="s">
        <v>1050</v>
      </c>
      <c r="F76" s="17" t="s">
        <v>86</v>
      </c>
      <c r="G76" s="17">
        <v>9.0</v>
      </c>
      <c r="H76" s="17" t="s">
        <v>123</v>
      </c>
      <c r="I76" s="17" t="s">
        <v>1168</v>
      </c>
      <c r="J76" s="17" t="s">
        <v>1169</v>
      </c>
      <c r="K76" s="17" t="s">
        <v>1110</v>
      </c>
      <c r="L76" s="17" t="s">
        <v>1110</v>
      </c>
      <c r="M76" s="17" t="s">
        <v>1096</v>
      </c>
      <c r="N76" s="17"/>
      <c r="O76" s="17" t="s">
        <v>249</v>
      </c>
      <c r="P76" s="17" t="s">
        <v>482</v>
      </c>
      <c r="Q76" s="17" t="s">
        <v>1055</v>
      </c>
      <c r="R76" s="17" t="s">
        <v>484</v>
      </c>
      <c r="S76" s="17" t="s">
        <v>232</v>
      </c>
      <c r="T76" s="17" t="s">
        <v>1111</v>
      </c>
      <c r="U76" s="17" t="s">
        <v>1173</v>
      </c>
      <c r="V76" s="17" t="s">
        <v>1113</v>
      </c>
      <c r="W76" s="17" t="s">
        <v>209</v>
      </c>
      <c r="X76" s="17" t="s">
        <v>1059</v>
      </c>
      <c r="Y76" s="17" t="s">
        <v>704</v>
      </c>
      <c r="Z76" s="17" t="s">
        <v>151</v>
      </c>
      <c r="AA76" s="17" t="s">
        <v>162</v>
      </c>
      <c r="AB76" s="17" t="s">
        <v>341</v>
      </c>
      <c r="AC76" s="19" t="s">
        <v>38</v>
      </c>
      <c r="AD76" s="20" t="s">
        <v>350</v>
      </c>
      <c r="AE76" s="21" t="s">
        <v>174</v>
      </c>
      <c r="AF76" s="24" t="s">
        <v>315</v>
      </c>
    </row>
    <row r="77" ht="43.5" customHeight="1">
      <c r="A77" s="17" t="s">
        <v>1175</v>
      </c>
      <c r="B77" s="17">
        <v>73.0</v>
      </c>
      <c r="C77" s="17" t="s">
        <v>1049</v>
      </c>
      <c r="D77" s="17">
        <v>5.0</v>
      </c>
      <c r="E77" s="17" t="s">
        <v>1050</v>
      </c>
      <c r="F77" s="17" t="s">
        <v>86</v>
      </c>
      <c r="G77" s="17">
        <v>10.0</v>
      </c>
      <c r="H77" s="17" t="s">
        <v>123</v>
      </c>
      <c r="I77" s="17" t="s">
        <v>1176</v>
      </c>
      <c r="J77" s="17" t="s">
        <v>1177</v>
      </c>
      <c r="K77" s="17" t="s">
        <v>1118</v>
      </c>
      <c r="L77" s="17" t="s">
        <v>1118</v>
      </c>
      <c r="M77" s="17" t="s">
        <v>1110</v>
      </c>
      <c r="N77" s="17"/>
      <c r="O77" s="17" t="s">
        <v>249</v>
      </c>
      <c r="P77" s="17" t="s">
        <v>482</v>
      </c>
      <c r="Q77" s="17" t="s">
        <v>1055</v>
      </c>
      <c r="R77" s="17" t="s">
        <v>484</v>
      </c>
      <c r="S77" s="17" t="s">
        <v>232</v>
      </c>
      <c r="T77" s="17" t="s">
        <v>1120</v>
      </c>
      <c r="U77" s="17" t="s">
        <v>1179</v>
      </c>
      <c r="V77" s="17" t="s">
        <v>1122</v>
      </c>
      <c r="W77" s="17" t="s">
        <v>417</v>
      </c>
      <c r="X77" s="17" t="s">
        <v>1059</v>
      </c>
      <c r="Y77" s="17" t="s">
        <v>704</v>
      </c>
      <c r="Z77" s="17" t="s">
        <v>151</v>
      </c>
      <c r="AA77" s="17" t="s">
        <v>162</v>
      </c>
      <c r="AB77" s="17" t="s">
        <v>341</v>
      </c>
      <c r="AC77" s="19" t="s">
        <v>38</v>
      </c>
      <c r="AD77" s="20" t="s">
        <v>350</v>
      </c>
      <c r="AE77" s="21" t="s">
        <v>174</v>
      </c>
      <c r="AF77" s="24" t="s">
        <v>315</v>
      </c>
    </row>
    <row r="78" ht="43.5" customHeight="1">
      <c r="A78" s="17" t="s">
        <v>1182</v>
      </c>
      <c r="B78" s="17">
        <v>74.0</v>
      </c>
      <c r="C78" s="17" t="s">
        <v>1049</v>
      </c>
      <c r="D78" s="17">
        <v>5.0</v>
      </c>
      <c r="E78" s="17" t="s">
        <v>1050</v>
      </c>
      <c r="F78" s="17" t="s">
        <v>86</v>
      </c>
      <c r="G78" s="17">
        <v>11.0</v>
      </c>
      <c r="H78" s="17" t="s">
        <v>123</v>
      </c>
      <c r="I78" s="17" t="s">
        <v>1184</v>
      </c>
      <c r="J78" s="17" t="s">
        <v>1185</v>
      </c>
      <c r="K78" s="17" t="s">
        <v>1054</v>
      </c>
      <c r="L78" s="17" t="s">
        <v>1054</v>
      </c>
      <c r="M78" s="17" t="s">
        <v>1118</v>
      </c>
      <c r="N78" s="17"/>
      <c r="O78" s="17" t="s">
        <v>249</v>
      </c>
      <c r="P78" s="17" t="s">
        <v>482</v>
      </c>
      <c r="Q78" s="17" t="s">
        <v>1055</v>
      </c>
      <c r="R78" s="17" t="s">
        <v>484</v>
      </c>
      <c r="S78" s="17" t="s">
        <v>232</v>
      </c>
      <c r="T78" s="17" t="s">
        <v>1056</v>
      </c>
      <c r="U78" s="17" t="s">
        <v>1186</v>
      </c>
      <c r="V78" s="17" t="s">
        <v>1058</v>
      </c>
      <c r="W78" s="17" t="s">
        <v>452</v>
      </c>
      <c r="X78" s="17" t="s">
        <v>1059</v>
      </c>
      <c r="Y78" s="17" t="s">
        <v>704</v>
      </c>
      <c r="Z78" s="17" t="s">
        <v>151</v>
      </c>
      <c r="AA78" s="17" t="s">
        <v>162</v>
      </c>
      <c r="AB78" s="17" t="s">
        <v>341</v>
      </c>
      <c r="AC78" s="19" t="s">
        <v>38</v>
      </c>
      <c r="AD78" s="20" t="s">
        <v>350</v>
      </c>
      <c r="AE78" s="21" t="s">
        <v>174</v>
      </c>
      <c r="AF78" s="22" t="s">
        <v>182</v>
      </c>
    </row>
    <row r="79" ht="43.5" customHeight="1">
      <c r="A79" s="17" t="s">
        <v>1190</v>
      </c>
      <c r="B79" s="17">
        <v>75.0</v>
      </c>
      <c r="C79" s="17" t="s">
        <v>1049</v>
      </c>
      <c r="D79" s="17">
        <v>5.0</v>
      </c>
      <c r="E79" s="17" t="s">
        <v>1050</v>
      </c>
      <c r="F79" s="17" t="s">
        <v>86</v>
      </c>
      <c r="G79" s="17">
        <v>14.0</v>
      </c>
      <c r="H79" s="17" t="s">
        <v>564</v>
      </c>
      <c r="I79" s="17" t="s">
        <v>1192</v>
      </c>
      <c r="J79" s="17" t="s">
        <v>566</v>
      </c>
      <c r="K79" s="17" t="s">
        <v>567</v>
      </c>
      <c r="L79" s="17" t="s">
        <v>568</v>
      </c>
      <c r="M79" s="17" t="s">
        <v>569</v>
      </c>
      <c r="N79" s="17" t="s">
        <v>571</v>
      </c>
      <c r="O79" s="17" t="s">
        <v>130</v>
      </c>
      <c r="P79" s="17" t="s">
        <v>133</v>
      </c>
      <c r="Q79" s="17" t="s">
        <v>573</v>
      </c>
      <c r="R79" s="17" t="s">
        <v>379</v>
      </c>
      <c r="S79" s="17" t="s">
        <v>82</v>
      </c>
      <c r="T79" s="17" t="s">
        <v>574</v>
      </c>
      <c r="U79" s="17" t="s">
        <v>575</v>
      </c>
      <c r="V79" s="17" t="s">
        <v>577</v>
      </c>
      <c r="W79" s="17" t="s">
        <v>578</v>
      </c>
      <c r="X79" s="17" t="s">
        <v>1059</v>
      </c>
      <c r="Y79" s="17" t="s">
        <v>581</v>
      </c>
      <c r="Z79" s="17" t="s">
        <v>151</v>
      </c>
      <c r="AA79" s="17" t="s">
        <v>162</v>
      </c>
      <c r="AB79" s="17" t="s">
        <v>582</v>
      </c>
      <c r="AC79" s="19" t="s">
        <v>38</v>
      </c>
      <c r="AD79" s="20" t="s">
        <v>350</v>
      </c>
      <c r="AE79" s="21" t="s">
        <v>174</v>
      </c>
      <c r="AF79" s="22" t="s">
        <v>182</v>
      </c>
    </row>
    <row r="80" ht="43.5" customHeight="1">
      <c r="A80" s="17" t="s">
        <v>1197</v>
      </c>
      <c r="B80" s="17">
        <v>76.0</v>
      </c>
      <c r="C80" s="17" t="s">
        <v>1049</v>
      </c>
      <c r="D80" s="17">
        <v>5.0</v>
      </c>
      <c r="E80" s="17" t="s">
        <v>1050</v>
      </c>
      <c r="F80" s="17" t="s">
        <v>86</v>
      </c>
      <c r="G80" s="17">
        <v>15.0</v>
      </c>
      <c r="H80" s="17" t="s">
        <v>586</v>
      </c>
      <c r="I80" s="17" t="s">
        <v>1200</v>
      </c>
      <c r="J80" s="17" t="s">
        <v>1201</v>
      </c>
      <c r="K80" s="17" t="s">
        <v>1202</v>
      </c>
      <c r="L80" s="17" t="s">
        <v>1118</v>
      </c>
      <c r="M80" s="17" t="s">
        <v>591</v>
      </c>
      <c r="N80" s="17"/>
      <c r="O80" s="17" t="s">
        <v>592</v>
      </c>
      <c r="P80" s="17" t="s">
        <v>878</v>
      </c>
      <c r="Q80" s="17" t="s">
        <v>1055</v>
      </c>
      <c r="R80" s="17" t="s">
        <v>484</v>
      </c>
      <c r="S80" s="17" t="s">
        <v>232</v>
      </c>
      <c r="T80" s="17" t="s">
        <v>595</v>
      </c>
      <c r="U80" s="17" t="s">
        <v>1186</v>
      </c>
      <c r="V80" s="17" t="s">
        <v>1204</v>
      </c>
      <c r="W80" s="17" t="s">
        <v>597</v>
      </c>
      <c r="X80" s="17" t="s">
        <v>1059</v>
      </c>
      <c r="Y80" s="17" t="s">
        <v>704</v>
      </c>
      <c r="Z80" s="17" t="s">
        <v>151</v>
      </c>
      <c r="AA80" s="17" t="s">
        <v>162</v>
      </c>
      <c r="AB80" s="17" t="s">
        <v>598</v>
      </c>
      <c r="AC80" s="19" t="s">
        <v>38</v>
      </c>
      <c r="AD80" s="20" t="s">
        <v>350</v>
      </c>
      <c r="AE80" s="21" t="s">
        <v>174</v>
      </c>
      <c r="AF80" s="23" t="s">
        <v>272</v>
      </c>
    </row>
    <row r="81" ht="43.5" customHeight="1">
      <c r="A81" s="17" t="s">
        <v>1205</v>
      </c>
      <c r="B81" s="17">
        <v>77.0</v>
      </c>
      <c r="C81" s="17" t="s">
        <v>1206</v>
      </c>
      <c r="D81" s="17">
        <v>6.0</v>
      </c>
      <c r="E81" s="17" t="s">
        <v>1207</v>
      </c>
      <c r="F81" s="17" t="s">
        <v>86</v>
      </c>
      <c r="G81" s="17">
        <v>1.0</v>
      </c>
      <c r="H81" s="17" t="s">
        <v>123</v>
      </c>
      <c r="I81" s="17" t="s">
        <v>1215</v>
      </c>
      <c r="J81" s="17" t="s">
        <v>1217</v>
      </c>
      <c r="K81" s="17" t="s">
        <v>1218</v>
      </c>
      <c r="L81" s="17" t="s">
        <v>1218</v>
      </c>
      <c r="M81" s="17" t="s">
        <v>128</v>
      </c>
      <c r="N81" s="17"/>
      <c r="O81" s="17" t="s">
        <v>249</v>
      </c>
      <c r="P81" s="17" t="s">
        <v>252</v>
      </c>
      <c r="Q81" s="17" t="s">
        <v>1219</v>
      </c>
      <c r="R81" s="17" t="s">
        <v>484</v>
      </c>
      <c r="S81" s="17" t="s">
        <v>82</v>
      </c>
      <c r="T81" s="17" t="s">
        <v>1221</v>
      </c>
      <c r="U81" s="17" t="s">
        <v>1222</v>
      </c>
      <c r="V81" s="17" t="s">
        <v>1223</v>
      </c>
      <c r="W81" s="17" t="s">
        <v>145</v>
      </c>
      <c r="X81" s="17" t="s">
        <v>1224</v>
      </c>
      <c r="Y81" s="17" t="s">
        <v>149</v>
      </c>
      <c r="Z81" s="17" t="s">
        <v>151</v>
      </c>
      <c r="AA81" s="17" t="s">
        <v>162</v>
      </c>
      <c r="AB81" s="17" t="s">
        <v>341</v>
      </c>
      <c r="AC81" s="19" t="s">
        <v>38</v>
      </c>
      <c r="AD81" s="20" t="s">
        <v>350</v>
      </c>
      <c r="AE81" s="21" t="s">
        <v>174</v>
      </c>
      <c r="AF81" s="22" t="s">
        <v>182</v>
      </c>
    </row>
    <row r="82" ht="43.5" customHeight="1">
      <c r="A82" s="17" t="s">
        <v>1228</v>
      </c>
      <c r="B82" s="17">
        <v>78.0</v>
      </c>
      <c r="C82" s="17" t="s">
        <v>1206</v>
      </c>
      <c r="D82" s="17">
        <v>6.0</v>
      </c>
      <c r="E82" s="17" t="s">
        <v>1207</v>
      </c>
      <c r="F82" s="17" t="s">
        <v>86</v>
      </c>
      <c r="G82" s="17">
        <v>2.0</v>
      </c>
      <c r="H82" s="17" t="s">
        <v>123</v>
      </c>
      <c r="I82" s="17" t="s">
        <v>1232</v>
      </c>
      <c r="J82" s="17" t="s">
        <v>1233</v>
      </c>
      <c r="K82" s="17" t="s">
        <v>1234</v>
      </c>
      <c r="L82" s="17" t="s">
        <v>1234</v>
      </c>
      <c r="M82" s="17" t="s">
        <v>1218</v>
      </c>
      <c r="N82" s="17"/>
      <c r="O82" s="17" t="s">
        <v>249</v>
      </c>
      <c r="P82" s="17" t="s">
        <v>252</v>
      </c>
      <c r="Q82" s="17" t="s">
        <v>1219</v>
      </c>
      <c r="R82" s="17" t="s">
        <v>484</v>
      </c>
      <c r="S82" s="17" t="s">
        <v>82</v>
      </c>
      <c r="T82" s="17" t="s">
        <v>1235</v>
      </c>
      <c r="U82" s="17" t="s">
        <v>1236</v>
      </c>
      <c r="V82" s="17" t="s">
        <v>1237</v>
      </c>
      <c r="W82" s="17" t="s">
        <v>209</v>
      </c>
      <c r="X82" s="17" t="s">
        <v>1224</v>
      </c>
      <c r="Y82" s="17" t="s">
        <v>149</v>
      </c>
      <c r="Z82" s="17" t="s">
        <v>151</v>
      </c>
      <c r="AA82" s="17" t="s">
        <v>162</v>
      </c>
      <c r="AB82" s="17" t="s">
        <v>341</v>
      </c>
      <c r="AC82" s="19" t="s">
        <v>38</v>
      </c>
      <c r="AD82" s="20" t="s">
        <v>350</v>
      </c>
      <c r="AE82" s="21" t="s">
        <v>174</v>
      </c>
      <c r="AF82" s="22" t="s">
        <v>182</v>
      </c>
    </row>
    <row r="83" ht="43.5" customHeight="1">
      <c r="A83" s="17" t="s">
        <v>1240</v>
      </c>
      <c r="B83" s="17">
        <v>79.0</v>
      </c>
      <c r="C83" s="17" t="s">
        <v>1206</v>
      </c>
      <c r="D83" s="17">
        <v>6.0</v>
      </c>
      <c r="E83" s="17" t="s">
        <v>1207</v>
      </c>
      <c r="F83" s="17" t="s">
        <v>86</v>
      </c>
      <c r="G83" s="17">
        <v>3.0</v>
      </c>
      <c r="H83" s="17" t="s">
        <v>240</v>
      </c>
      <c r="I83" s="17" t="s">
        <v>1241</v>
      </c>
      <c r="J83" s="17" t="s">
        <v>179</v>
      </c>
      <c r="K83" s="17" t="s">
        <v>181</v>
      </c>
      <c r="L83" s="17" t="s">
        <v>181</v>
      </c>
      <c r="M83" s="17" t="s">
        <v>1242</v>
      </c>
      <c r="N83" s="17" t="s">
        <v>176</v>
      </c>
      <c r="O83" s="17" t="s">
        <v>249</v>
      </c>
      <c r="P83" s="17" t="s">
        <v>252</v>
      </c>
      <c r="Q83" s="17" t="s">
        <v>183</v>
      </c>
      <c r="R83" s="17" t="s">
        <v>484</v>
      </c>
      <c r="S83" s="17" t="s">
        <v>82</v>
      </c>
      <c r="T83" s="17" t="s">
        <v>1243</v>
      </c>
      <c r="U83" s="17" t="s">
        <v>1244</v>
      </c>
      <c r="V83" s="17" t="s">
        <v>1245</v>
      </c>
      <c r="W83" s="17" t="s">
        <v>260</v>
      </c>
      <c r="X83" s="17" t="s">
        <v>1224</v>
      </c>
      <c r="Y83" s="17" t="s">
        <v>261</v>
      </c>
      <c r="Z83" s="17" t="s">
        <v>151</v>
      </c>
      <c r="AA83" s="17" t="s">
        <v>162</v>
      </c>
      <c r="AB83" s="17" t="s">
        <v>1247</v>
      </c>
      <c r="AC83" s="19" t="s">
        <v>38</v>
      </c>
      <c r="AD83" s="20" t="s">
        <v>350</v>
      </c>
      <c r="AE83" s="21" t="s">
        <v>174</v>
      </c>
      <c r="AF83" s="23" t="s">
        <v>272</v>
      </c>
    </row>
    <row r="84" ht="43.5" customHeight="1">
      <c r="A84" s="17" t="s">
        <v>1250</v>
      </c>
      <c r="B84" s="17">
        <v>80.0</v>
      </c>
      <c r="C84" s="17" t="s">
        <v>1206</v>
      </c>
      <c r="D84" s="17">
        <v>6.0</v>
      </c>
      <c r="E84" s="17" t="s">
        <v>1207</v>
      </c>
      <c r="F84" s="17" t="s">
        <v>86</v>
      </c>
      <c r="G84" s="17">
        <v>3.0</v>
      </c>
      <c r="H84" s="17" t="s">
        <v>123</v>
      </c>
      <c r="I84" s="17" t="s">
        <v>1254</v>
      </c>
      <c r="J84" s="17" t="s">
        <v>1255</v>
      </c>
      <c r="K84" s="17" t="s">
        <v>1256</v>
      </c>
      <c r="L84" s="17" t="s">
        <v>1256</v>
      </c>
      <c r="M84" s="17" t="s">
        <v>1234</v>
      </c>
      <c r="N84" s="17"/>
      <c r="O84" s="17" t="s">
        <v>249</v>
      </c>
      <c r="P84" s="17" t="s">
        <v>252</v>
      </c>
      <c r="Q84" s="17" t="s">
        <v>1219</v>
      </c>
      <c r="R84" s="17" t="s">
        <v>484</v>
      </c>
      <c r="S84" s="17" t="s">
        <v>82</v>
      </c>
      <c r="T84" s="17" t="s">
        <v>1261</v>
      </c>
      <c r="U84" s="17" t="s">
        <v>1263</v>
      </c>
      <c r="V84" s="17" t="s">
        <v>1265</v>
      </c>
      <c r="W84" s="17" t="s">
        <v>209</v>
      </c>
      <c r="X84" s="17" t="s">
        <v>1224</v>
      </c>
      <c r="Y84" s="17" t="s">
        <v>149</v>
      </c>
      <c r="Z84" s="17" t="s">
        <v>151</v>
      </c>
      <c r="AA84" s="17" t="s">
        <v>162</v>
      </c>
      <c r="AB84" s="17" t="s">
        <v>341</v>
      </c>
      <c r="AC84" s="19" t="s">
        <v>38</v>
      </c>
      <c r="AD84" s="20" t="s">
        <v>350</v>
      </c>
      <c r="AE84" s="21" t="s">
        <v>174</v>
      </c>
      <c r="AF84" s="22" t="s">
        <v>182</v>
      </c>
    </row>
    <row r="85" ht="43.5" customHeight="1">
      <c r="A85" s="17" t="s">
        <v>1267</v>
      </c>
      <c r="B85" s="17">
        <v>81.0</v>
      </c>
      <c r="C85" s="17" t="s">
        <v>1206</v>
      </c>
      <c r="D85" s="17">
        <v>6.0</v>
      </c>
      <c r="E85" s="17" t="s">
        <v>1207</v>
      </c>
      <c r="F85" s="17" t="s">
        <v>86</v>
      </c>
      <c r="G85" s="17">
        <v>4.0</v>
      </c>
      <c r="H85" s="17" t="s">
        <v>123</v>
      </c>
      <c r="I85" s="17" t="s">
        <v>1268</v>
      </c>
      <c r="J85" s="17" t="s">
        <v>1269</v>
      </c>
      <c r="K85" s="17" t="s">
        <v>1270</v>
      </c>
      <c r="L85" s="17" t="s">
        <v>1270</v>
      </c>
      <c r="M85" s="17" t="s">
        <v>1256</v>
      </c>
      <c r="N85" s="17"/>
      <c r="O85" s="17" t="s">
        <v>249</v>
      </c>
      <c r="P85" s="17" t="s">
        <v>252</v>
      </c>
      <c r="Q85" s="17" t="s">
        <v>1219</v>
      </c>
      <c r="R85" s="17" t="s">
        <v>484</v>
      </c>
      <c r="S85" s="17" t="s">
        <v>82</v>
      </c>
      <c r="T85" s="17" t="s">
        <v>1274</v>
      </c>
      <c r="U85" s="17" t="s">
        <v>1275</v>
      </c>
      <c r="V85" s="17" t="s">
        <v>1276</v>
      </c>
      <c r="W85" s="17" t="s">
        <v>209</v>
      </c>
      <c r="X85" s="17" t="s">
        <v>1224</v>
      </c>
      <c r="Y85" s="17" t="s">
        <v>149</v>
      </c>
      <c r="Z85" s="17" t="s">
        <v>151</v>
      </c>
      <c r="AA85" s="17" t="s">
        <v>162</v>
      </c>
      <c r="AB85" s="17" t="s">
        <v>341</v>
      </c>
      <c r="AC85" s="19" t="s">
        <v>38</v>
      </c>
      <c r="AD85" s="20" t="s">
        <v>350</v>
      </c>
      <c r="AE85" s="21" t="s">
        <v>174</v>
      </c>
      <c r="AF85" s="22" t="s">
        <v>182</v>
      </c>
    </row>
    <row r="86" ht="43.5" customHeight="1">
      <c r="A86" s="17" t="s">
        <v>1280</v>
      </c>
      <c r="B86" s="17">
        <v>82.0</v>
      </c>
      <c r="C86" s="17" t="s">
        <v>1206</v>
      </c>
      <c r="D86" s="17">
        <v>6.0</v>
      </c>
      <c r="E86" s="17" t="s">
        <v>1207</v>
      </c>
      <c r="F86" s="17" t="s">
        <v>86</v>
      </c>
      <c r="G86" s="17">
        <v>5.0</v>
      </c>
      <c r="H86" s="17" t="s">
        <v>123</v>
      </c>
      <c r="I86" s="17" t="s">
        <v>1281</v>
      </c>
      <c r="J86" s="17" t="s">
        <v>1282</v>
      </c>
      <c r="K86" s="17" t="s">
        <v>1283</v>
      </c>
      <c r="L86" s="17" t="s">
        <v>1283</v>
      </c>
      <c r="M86" s="17" t="s">
        <v>1270</v>
      </c>
      <c r="N86" s="17"/>
      <c r="O86" s="17" t="s">
        <v>249</v>
      </c>
      <c r="P86" s="17" t="s">
        <v>252</v>
      </c>
      <c r="Q86" s="17" t="s">
        <v>1219</v>
      </c>
      <c r="R86" s="17" t="s">
        <v>484</v>
      </c>
      <c r="S86" s="17" t="s">
        <v>82</v>
      </c>
      <c r="T86" s="17" t="s">
        <v>1285</v>
      </c>
      <c r="U86" s="17" t="s">
        <v>1286</v>
      </c>
      <c r="V86" s="17" t="s">
        <v>1287</v>
      </c>
      <c r="W86" s="17" t="s">
        <v>145</v>
      </c>
      <c r="X86" s="17" t="s">
        <v>1224</v>
      </c>
      <c r="Y86" s="17" t="s">
        <v>149</v>
      </c>
      <c r="Z86" s="17" t="s">
        <v>151</v>
      </c>
      <c r="AA86" s="17" t="s">
        <v>162</v>
      </c>
      <c r="AB86" s="17" t="s">
        <v>341</v>
      </c>
      <c r="AC86" s="19" t="s">
        <v>38</v>
      </c>
      <c r="AD86" s="20" t="s">
        <v>350</v>
      </c>
      <c r="AE86" s="21" t="s">
        <v>174</v>
      </c>
      <c r="AF86" s="22" t="s">
        <v>182</v>
      </c>
    </row>
    <row r="87" ht="43.5" customHeight="1">
      <c r="A87" s="17" t="s">
        <v>1291</v>
      </c>
      <c r="B87" s="17">
        <v>83.0</v>
      </c>
      <c r="C87" s="17" t="s">
        <v>1206</v>
      </c>
      <c r="D87" s="17">
        <v>6.0</v>
      </c>
      <c r="E87" s="17" t="s">
        <v>1207</v>
      </c>
      <c r="F87" s="17" t="s">
        <v>86</v>
      </c>
      <c r="G87" s="17">
        <v>7.0</v>
      </c>
      <c r="H87" s="17" t="s">
        <v>240</v>
      </c>
      <c r="I87" s="17" t="s">
        <v>1081</v>
      </c>
      <c r="J87" s="17" t="s">
        <v>217</v>
      </c>
      <c r="K87" s="17" t="s">
        <v>218</v>
      </c>
      <c r="L87" s="17" t="s">
        <v>218</v>
      </c>
      <c r="M87" s="17" t="s">
        <v>1082</v>
      </c>
      <c r="N87" s="17" t="s">
        <v>212</v>
      </c>
      <c r="O87" s="17" t="s">
        <v>249</v>
      </c>
      <c r="P87" s="17" t="s">
        <v>252</v>
      </c>
      <c r="Q87" s="17" t="s">
        <v>219</v>
      </c>
      <c r="R87" s="17" t="s">
        <v>484</v>
      </c>
      <c r="S87" s="17" t="s">
        <v>82</v>
      </c>
      <c r="T87" s="17" t="s">
        <v>1086</v>
      </c>
      <c r="U87" s="17" t="s">
        <v>1087</v>
      </c>
      <c r="V87" s="17" t="s">
        <v>1295</v>
      </c>
      <c r="W87" s="17" t="s">
        <v>260</v>
      </c>
      <c r="X87" s="17" t="s">
        <v>1224</v>
      </c>
      <c r="Y87" s="17" t="s">
        <v>261</v>
      </c>
      <c r="Z87" s="17" t="s">
        <v>151</v>
      </c>
      <c r="AA87" s="17" t="s">
        <v>162</v>
      </c>
      <c r="AB87" s="17" t="s">
        <v>1247</v>
      </c>
      <c r="AC87" s="19" t="s">
        <v>38</v>
      </c>
      <c r="AD87" s="20" t="s">
        <v>350</v>
      </c>
      <c r="AE87" s="21" t="s">
        <v>174</v>
      </c>
      <c r="AF87" s="23" t="s">
        <v>272</v>
      </c>
    </row>
    <row r="88" ht="43.5" customHeight="1">
      <c r="A88" s="17" t="s">
        <v>1297</v>
      </c>
      <c r="B88" s="17">
        <v>84.0</v>
      </c>
      <c r="C88" s="17" t="s">
        <v>1206</v>
      </c>
      <c r="D88" s="17">
        <v>6.0</v>
      </c>
      <c r="E88" s="17" t="s">
        <v>1207</v>
      </c>
      <c r="F88" s="17" t="s">
        <v>86</v>
      </c>
      <c r="G88" s="17">
        <v>6.0</v>
      </c>
      <c r="H88" s="17" t="s">
        <v>123</v>
      </c>
      <c r="I88" s="17" t="s">
        <v>1298</v>
      </c>
      <c r="J88" s="17" t="s">
        <v>1299</v>
      </c>
      <c r="K88" s="17" t="s">
        <v>1218</v>
      </c>
      <c r="L88" s="17" t="s">
        <v>1218</v>
      </c>
      <c r="M88" s="17" t="s">
        <v>1283</v>
      </c>
      <c r="N88" s="17"/>
      <c r="O88" s="17" t="s">
        <v>249</v>
      </c>
      <c r="P88" s="17" t="s">
        <v>252</v>
      </c>
      <c r="Q88" s="17" t="s">
        <v>1219</v>
      </c>
      <c r="R88" s="17" t="s">
        <v>484</v>
      </c>
      <c r="S88" s="17" t="s">
        <v>82</v>
      </c>
      <c r="T88" s="17" t="s">
        <v>1221</v>
      </c>
      <c r="U88" s="17" t="s">
        <v>1300</v>
      </c>
      <c r="V88" s="17" t="s">
        <v>1223</v>
      </c>
      <c r="W88" s="17" t="s">
        <v>209</v>
      </c>
      <c r="X88" s="17" t="s">
        <v>1224</v>
      </c>
      <c r="Y88" s="17" t="s">
        <v>149</v>
      </c>
      <c r="Z88" s="17" t="s">
        <v>151</v>
      </c>
      <c r="AA88" s="17" t="s">
        <v>162</v>
      </c>
      <c r="AB88" s="17" t="s">
        <v>341</v>
      </c>
      <c r="AC88" s="19" t="s">
        <v>38</v>
      </c>
      <c r="AD88" s="20" t="s">
        <v>350</v>
      </c>
      <c r="AE88" s="21" t="s">
        <v>174</v>
      </c>
      <c r="AF88" s="24" t="s">
        <v>315</v>
      </c>
    </row>
    <row r="89" ht="43.5" customHeight="1">
      <c r="A89" s="17" t="s">
        <v>1302</v>
      </c>
      <c r="B89" s="17">
        <v>85.0</v>
      </c>
      <c r="C89" s="17" t="s">
        <v>1206</v>
      </c>
      <c r="D89" s="17">
        <v>6.0</v>
      </c>
      <c r="E89" s="17" t="s">
        <v>1207</v>
      </c>
      <c r="F89" s="17" t="s">
        <v>86</v>
      </c>
      <c r="G89" s="17">
        <v>7.0</v>
      </c>
      <c r="H89" s="17" t="s">
        <v>123</v>
      </c>
      <c r="I89" s="17" t="s">
        <v>1304</v>
      </c>
      <c r="J89" s="17" t="s">
        <v>1305</v>
      </c>
      <c r="K89" s="17" t="s">
        <v>1234</v>
      </c>
      <c r="L89" s="17" t="s">
        <v>1234</v>
      </c>
      <c r="M89" s="17" t="s">
        <v>1218</v>
      </c>
      <c r="N89" s="17"/>
      <c r="O89" s="17" t="s">
        <v>249</v>
      </c>
      <c r="P89" s="17" t="s">
        <v>252</v>
      </c>
      <c r="Q89" s="17" t="s">
        <v>1219</v>
      </c>
      <c r="R89" s="17" t="s">
        <v>484</v>
      </c>
      <c r="S89" s="17" t="s">
        <v>82</v>
      </c>
      <c r="T89" s="17" t="s">
        <v>1235</v>
      </c>
      <c r="U89" s="17" t="s">
        <v>1307</v>
      </c>
      <c r="V89" s="17" t="s">
        <v>1237</v>
      </c>
      <c r="W89" s="17" t="s">
        <v>209</v>
      </c>
      <c r="X89" s="17" t="s">
        <v>1224</v>
      </c>
      <c r="Y89" s="17" t="s">
        <v>149</v>
      </c>
      <c r="Z89" s="17" t="s">
        <v>151</v>
      </c>
      <c r="AA89" s="17" t="s">
        <v>162</v>
      </c>
      <c r="AB89" s="17" t="s">
        <v>341</v>
      </c>
      <c r="AC89" s="19" t="s">
        <v>38</v>
      </c>
      <c r="AD89" s="20" t="s">
        <v>350</v>
      </c>
      <c r="AE89" s="21" t="s">
        <v>174</v>
      </c>
      <c r="AF89" s="24" t="s">
        <v>315</v>
      </c>
    </row>
    <row r="90" ht="43.5" customHeight="1">
      <c r="A90" s="17" t="s">
        <v>1311</v>
      </c>
      <c r="B90" s="17">
        <v>86.0</v>
      </c>
      <c r="C90" s="17" t="s">
        <v>1206</v>
      </c>
      <c r="D90" s="17">
        <v>6.0</v>
      </c>
      <c r="E90" s="17" t="s">
        <v>1207</v>
      </c>
      <c r="F90" s="17" t="s">
        <v>86</v>
      </c>
      <c r="G90" s="17">
        <v>8.0</v>
      </c>
      <c r="H90" s="17" t="s">
        <v>123</v>
      </c>
      <c r="I90" s="17" t="s">
        <v>1315</v>
      </c>
      <c r="J90" s="17" t="s">
        <v>1316</v>
      </c>
      <c r="K90" s="17" t="s">
        <v>1256</v>
      </c>
      <c r="L90" s="17" t="s">
        <v>1256</v>
      </c>
      <c r="M90" s="17" t="s">
        <v>1234</v>
      </c>
      <c r="N90" s="17"/>
      <c r="O90" s="17" t="s">
        <v>249</v>
      </c>
      <c r="P90" s="17" t="s">
        <v>252</v>
      </c>
      <c r="Q90" s="17" t="s">
        <v>1219</v>
      </c>
      <c r="R90" s="17" t="s">
        <v>484</v>
      </c>
      <c r="S90" s="17" t="s">
        <v>82</v>
      </c>
      <c r="T90" s="17" t="s">
        <v>1261</v>
      </c>
      <c r="U90" s="17" t="s">
        <v>1318</v>
      </c>
      <c r="V90" s="17" t="s">
        <v>1265</v>
      </c>
      <c r="W90" s="17" t="s">
        <v>209</v>
      </c>
      <c r="X90" s="17" t="s">
        <v>1224</v>
      </c>
      <c r="Y90" s="17" t="s">
        <v>149</v>
      </c>
      <c r="Z90" s="17" t="s">
        <v>151</v>
      </c>
      <c r="AA90" s="17" t="s">
        <v>162</v>
      </c>
      <c r="AB90" s="17" t="s">
        <v>341</v>
      </c>
      <c r="AC90" s="19" t="s">
        <v>38</v>
      </c>
      <c r="AD90" s="20" t="s">
        <v>350</v>
      </c>
      <c r="AE90" s="21" t="s">
        <v>174</v>
      </c>
      <c r="AF90" s="24" t="s">
        <v>315</v>
      </c>
    </row>
    <row r="91" ht="43.5" customHeight="1">
      <c r="A91" s="17" t="s">
        <v>1322</v>
      </c>
      <c r="B91" s="17">
        <v>87.0</v>
      </c>
      <c r="C91" s="17" t="s">
        <v>1206</v>
      </c>
      <c r="D91" s="17">
        <v>6.0</v>
      </c>
      <c r="E91" s="17" t="s">
        <v>1207</v>
      </c>
      <c r="F91" s="17" t="s">
        <v>399</v>
      </c>
      <c r="G91" s="17">
        <v>11.0</v>
      </c>
      <c r="H91" s="17" t="s">
        <v>240</v>
      </c>
      <c r="I91" s="17" t="s">
        <v>1323</v>
      </c>
      <c r="J91" s="17" t="s">
        <v>427</v>
      </c>
      <c r="K91" s="17" t="s">
        <v>429</v>
      </c>
      <c r="L91" s="17" t="s">
        <v>429</v>
      </c>
      <c r="M91" s="17" t="s">
        <v>1327</v>
      </c>
      <c r="N91" s="17" t="s">
        <v>423</v>
      </c>
      <c r="O91" s="17" t="s">
        <v>249</v>
      </c>
      <c r="P91" s="17" t="s">
        <v>252</v>
      </c>
      <c r="Q91" s="17" t="s">
        <v>431</v>
      </c>
      <c r="R91" s="17" t="s">
        <v>379</v>
      </c>
      <c r="S91" s="17" t="s">
        <v>82</v>
      </c>
      <c r="T91" s="17" t="s">
        <v>1328</v>
      </c>
      <c r="U91" s="17" t="s">
        <v>1329</v>
      </c>
      <c r="V91" s="17" t="s">
        <v>1330</v>
      </c>
      <c r="W91" s="17" t="s">
        <v>260</v>
      </c>
      <c r="X91" s="17" t="s">
        <v>1224</v>
      </c>
      <c r="Y91" s="17" t="s">
        <v>261</v>
      </c>
      <c r="Z91" s="17" t="s">
        <v>151</v>
      </c>
      <c r="AA91" s="17" t="s">
        <v>162</v>
      </c>
      <c r="AB91" s="17" t="s">
        <v>1331</v>
      </c>
      <c r="AC91" s="19" t="s">
        <v>38</v>
      </c>
      <c r="AD91" s="20" t="s">
        <v>350</v>
      </c>
      <c r="AE91" s="21" t="s">
        <v>174</v>
      </c>
      <c r="AF91" s="23" t="s">
        <v>272</v>
      </c>
    </row>
    <row r="92" ht="43.5" customHeight="1">
      <c r="A92" s="17" t="s">
        <v>1333</v>
      </c>
      <c r="B92" s="17">
        <v>88.0</v>
      </c>
      <c r="C92" s="17" t="s">
        <v>1206</v>
      </c>
      <c r="D92" s="17">
        <v>6.0</v>
      </c>
      <c r="E92" s="17" t="s">
        <v>1207</v>
      </c>
      <c r="F92" s="17" t="s">
        <v>86</v>
      </c>
      <c r="G92" s="17">
        <v>9.0</v>
      </c>
      <c r="H92" s="17" t="s">
        <v>123</v>
      </c>
      <c r="I92" s="17" t="s">
        <v>1334</v>
      </c>
      <c r="J92" s="17" t="s">
        <v>1335</v>
      </c>
      <c r="K92" s="17" t="s">
        <v>1270</v>
      </c>
      <c r="L92" s="17" t="s">
        <v>1270</v>
      </c>
      <c r="M92" s="17" t="s">
        <v>1256</v>
      </c>
      <c r="N92" s="17"/>
      <c r="O92" s="17" t="s">
        <v>249</v>
      </c>
      <c r="P92" s="17" t="s">
        <v>252</v>
      </c>
      <c r="Q92" s="17" t="s">
        <v>1219</v>
      </c>
      <c r="R92" s="17" t="s">
        <v>484</v>
      </c>
      <c r="S92" s="17" t="s">
        <v>82</v>
      </c>
      <c r="T92" s="17" t="s">
        <v>1274</v>
      </c>
      <c r="U92" s="17" t="s">
        <v>1339</v>
      </c>
      <c r="V92" s="17" t="s">
        <v>1276</v>
      </c>
      <c r="W92" s="17" t="s">
        <v>209</v>
      </c>
      <c r="X92" s="17" t="s">
        <v>1224</v>
      </c>
      <c r="Y92" s="17" t="s">
        <v>149</v>
      </c>
      <c r="Z92" s="17" t="s">
        <v>151</v>
      </c>
      <c r="AA92" s="17" t="s">
        <v>162</v>
      </c>
      <c r="AB92" s="17" t="s">
        <v>341</v>
      </c>
      <c r="AC92" s="19" t="s">
        <v>38</v>
      </c>
      <c r="AD92" s="20" t="s">
        <v>350</v>
      </c>
      <c r="AE92" s="21" t="s">
        <v>174</v>
      </c>
      <c r="AF92" s="24" t="s">
        <v>315</v>
      </c>
    </row>
    <row r="93" ht="43.5" customHeight="1">
      <c r="A93" s="17" t="s">
        <v>1344</v>
      </c>
      <c r="B93" s="17">
        <v>89.0</v>
      </c>
      <c r="C93" s="17" t="s">
        <v>1206</v>
      </c>
      <c r="D93" s="17">
        <v>6.0</v>
      </c>
      <c r="E93" s="17" t="s">
        <v>1207</v>
      </c>
      <c r="F93" s="17" t="s">
        <v>86</v>
      </c>
      <c r="G93" s="17">
        <v>10.0</v>
      </c>
      <c r="H93" s="17" t="s">
        <v>123</v>
      </c>
      <c r="I93" s="17" t="s">
        <v>1345</v>
      </c>
      <c r="J93" s="17" t="s">
        <v>1347</v>
      </c>
      <c r="K93" s="17" t="s">
        <v>1283</v>
      </c>
      <c r="L93" s="17" t="s">
        <v>1283</v>
      </c>
      <c r="M93" s="17" t="s">
        <v>1270</v>
      </c>
      <c r="N93" s="17"/>
      <c r="O93" s="17" t="s">
        <v>249</v>
      </c>
      <c r="P93" s="17" t="s">
        <v>252</v>
      </c>
      <c r="Q93" s="17" t="s">
        <v>1219</v>
      </c>
      <c r="R93" s="17" t="s">
        <v>484</v>
      </c>
      <c r="S93" s="17" t="s">
        <v>82</v>
      </c>
      <c r="T93" s="17" t="s">
        <v>1285</v>
      </c>
      <c r="U93" s="17" t="s">
        <v>1349</v>
      </c>
      <c r="V93" s="17" t="s">
        <v>1287</v>
      </c>
      <c r="W93" s="17" t="s">
        <v>417</v>
      </c>
      <c r="X93" s="17" t="s">
        <v>1224</v>
      </c>
      <c r="Y93" s="17" t="s">
        <v>149</v>
      </c>
      <c r="Z93" s="17" t="s">
        <v>151</v>
      </c>
      <c r="AA93" s="17" t="s">
        <v>162</v>
      </c>
      <c r="AB93" s="17" t="s">
        <v>341</v>
      </c>
      <c r="AC93" s="19" t="s">
        <v>38</v>
      </c>
      <c r="AD93" s="20" t="s">
        <v>350</v>
      </c>
      <c r="AE93" s="21" t="s">
        <v>174</v>
      </c>
      <c r="AF93" s="24" t="s">
        <v>315</v>
      </c>
    </row>
    <row r="94" ht="43.5" customHeight="1">
      <c r="A94" s="17" t="s">
        <v>1351</v>
      </c>
      <c r="B94" s="17">
        <v>90.0</v>
      </c>
      <c r="C94" s="17" t="s">
        <v>1206</v>
      </c>
      <c r="D94" s="17">
        <v>6.0</v>
      </c>
      <c r="E94" s="17" t="s">
        <v>1207</v>
      </c>
      <c r="F94" s="17" t="s">
        <v>86</v>
      </c>
      <c r="G94" s="17">
        <v>11.0</v>
      </c>
      <c r="H94" s="17" t="s">
        <v>123</v>
      </c>
      <c r="I94" s="17" t="s">
        <v>1352</v>
      </c>
      <c r="J94" s="17" t="s">
        <v>1354</v>
      </c>
      <c r="K94" s="17" t="s">
        <v>1218</v>
      </c>
      <c r="L94" s="17" t="s">
        <v>1218</v>
      </c>
      <c r="M94" s="17" t="s">
        <v>1283</v>
      </c>
      <c r="N94" s="17"/>
      <c r="O94" s="17" t="s">
        <v>249</v>
      </c>
      <c r="P94" s="17" t="s">
        <v>252</v>
      </c>
      <c r="Q94" s="17" t="s">
        <v>1219</v>
      </c>
      <c r="R94" s="17" t="s">
        <v>484</v>
      </c>
      <c r="S94" s="17" t="s">
        <v>82</v>
      </c>
      <c r="T94" s="17" t="s">
        <v>1221</v>
      </c>
      <c r="U94" s="17" t="s">
        <v>1355</v>
      </c>
      <c r="V94" s="17" t="s">
        <v>1223</v>
      </c>
      <c r="W94" s="17" t="s">
        <v>452</v>
      </c>
      <c r="X94" s="17" t="s">
        <v>1224</v>
      </c>
      <c r="Y94" s="17" t="s">
        <v>149</v>
      </c>
      <c r="Z94" s="17" t="s">
        <v>151</v>
      </c>
      <c r="AA94" s="17" t="s">
        <v>162</v>
      </c>
      <c r="AB94" s="17" t="s">
        <v>341</v>
      </c>
      <c r="AC94" s="19" t="s">
        <v>38</v>
      </c>
      <c r="AD94" s="20" t="s">
        <v>350</v>
      </c>
      <c r="AE94" s="21" t="s">
        <v>174</v>
      </c>
      <c r="AF94" s="22" t="s">
        <v>182</v>
      </c>
    </row>
    <row r="95" ht="43.5" customHeight="1">
      <c r="A95" s="17" t="s">
        <v>1358</v>
      </c>
      <c r="B95" s="17">
        <v>91.0</v>
      </c>
      <c r="C95" s="17" t="s">
        <v>1206</v>
      </c>
      <c r="D95" s="17">
        <v>6.0</v>
      </c>
      <c r="E95" s="17" t="s">
        <v>1207</v>
      </c>
      <c r="F95" s="17" t="s">
        <v>86</v>
      </c>
      <c r="G95" s="17">
        <v>15.0</v>
      </c>
      <c r="H95" s="17" t="s">
        <v>564</v>
      </c>
      <c r="I95" s="17" t="s">
        <v>1360</v>
      </c>
      <c r="J95" s="17" t="s">
        <v>566</v>
      </c>
      <c r="K95" s="17" t="s">
        <v>567</v>
      </c>
      <c r="L95" s="17" t="s">
        <v>568</v>
      </c>
      <c r="M95" s="17" t="s">
        <v>569</v>
      </c>
      <c r="N95" s="17" t="s">
        <v>571</v>
      </c>
      <c r="O95" s="17" t="s">
        <v>130</v>
      </c>
      <c r="P95" s="17" t="s">
        <v>133</v>
      </c>
      <c r="Q95" s="17" t="s">
        <v>573</v>
      </c>
      <c r="R95" s="17" t="s">
        <v>379</v>
      </c>
      <c r="S95" s="17" t="s">
        <v>82</v>
      </c>
      <c r="T95" s="17" t="s">
        <v>574</v>
      </c>
      <c r="U95" s="17" t="s">
        <v>575</v>
      </c>
      <c r="V95" s="17" t="s">
        <v>577</v>
      </c>
      <c r="W95" s="17" t="s">
        <v>578</v>
      </c>
      <c r="X95" s="17" t="s">
        <v>1224</v>
      </c>
      <c r="Y95" s="17" t="s">
        <v>581</v>
      </c>
      <c r="Z95" s="17" t="s">
        <v>151</v>
      </c>
      <c r="AA95" s="17" t="s">
        <v>162</v>
      </c>
      <c r="AB95" s="17" t="s">
        <v>582</v>
      </c>
      <c r="AC95" s="19" t="s">
        <v>38</v>
      </c>
      <c r="AD95" s="20" t="s">
        <v>350</v>
      </c>
      <c r="AE95" s="21" t="s">
        <v>174</v>
      </c>
      <c r="AF95" s="22" t="s">
        <v>182</v>
      </c>
    </row>
    <row r="96" ht="43.5" customHeight="1">
      <c r="A96" s="17" t="s">
        <v>1365</v>
      </c>
      <c r="B96" s="17">
        <v>92.0</v>
      </c>
      <c r="C96" s="17" t="s">
        <v>1366</v>
      </c>
      <c r="D96" s="17">
        <v>7.0</v>
      </c>
      <c r="E96" s="17" t="s">
        <v>1367</v>
      </c>
      <c r="F96" s="17" t="s">
        <v>276</v>
      </c>
      <c r="G96" s="17">
        <v>1.0</v>
      </c>
      <c r="H96" s="17" t="s">
        <v>123</v>
      </c>
      <c r="I96" s="17" t="s">
        <v>1368</v>
      </c>
      <c r="J96" s="17" t="s">
        <v>1369</v>
      </c>
      <c r="K96" s="17" t="s">
        <v>1370</v>
      </c>
      <c r="L96" s="17" t="s">
        <v>1370</v>
      </c>
      <c r="M96" s="17" t="s">
        <v>128</v>
      </c>
      <c r="N96" s="17"/>
      <c r="O96" s="17" t="s">
        <v>249</v>
      </c>
      <c r="P96" s="17" t="s">
        <v>1372</v>
      </c>
      <c r="Q96" s="17" t="s">
        <v>1373</v>
      </c>
      <c r="R96" s="17" t="s">
        <v>610</v>
      </c>
      <c r="S96" s="17" t="s">
        <v>29</v>
      </c>
      <c r="T96" s="17" t="s">
        <v>1374</v>
      </c>
      <c r="U96" s="17" t="s">
        <v>1375</v>
      </c>
      <c r="V96" s="17" t="s">
        <v>1376</v>
      </c>
      <c r="W96" s="17" t="s">
        <v>145</v>
      </c>
      <c r="X96" s="17" t="s">
        <v>1378</v>
      </c>
      <c r="Y96" s="17" t="s">
        <v>149</v>
      </c>
      <c r="Z96" s="17" t="s">
        <v>151</v>
      </c>
      <c r="AA96" s="17" t="s">
        <v>162</v>
      </c>
      <c r="AB96" s="17" t="s">
        <v>341</v>
      </c>
      <c r="AC96" s="19" t="s">
        <v>38</v>
      </c>
      <c r="AD96" s="20" t="s">
        <v>350</v>
      </c>
      <c r="AE96" s="21" t="s">
        <v>174</v>
      </c>
      <c r="AF96" s="22" t="s">
        <v>182</v>
      </c>
    </row>
    <row r="97" ht="43.5" customHeight="1">
      <c r="A97" s="17" t="s">
        <v>1381</v>
      </c>
      <c r="B97" s="17">
        <v>93.0</v>
      </c>
      <c r="C97" s="17" t="s">
        <v>1366</v>
      </c>
      <c r="D97" s="17">
        <v>7.0</v>
      </c>
      <c r="E97" s="17" t="s">
        <v>1367</v>
      </c>
      <c r="F97" s="17" t="s">
        <v>276</v>
      </c>
      <c r="G97" s="17">
        <v>2.0</v>
      </c>
      <c r="H97" s="17" t="s">
        <v>123</v>
      </c>
      <c r="I97" s="17" t="s">
        <v>1385</v>
      </c>
      <c r="J97" s="17" t="s">
        <v>1386</v>
      </c>
      <c r="K97" s="17" t="s">
        <v>1253</v>
      </c>
      <c r="L97" s="17" t="s">
        <v>1253</v>
      </c>
      <c r="M97" s="17" t="s">
        <v>1370</v>
      </c>
      <c r="N97" s="17"/>
      <c r="O97" s="17" t="s">
        <v>249</v>
      </c>
      <c r="P97" s="17" t="s">
        <v>1372</v>
      </c>
      <c r="Q97" s="17" t="s">
        <v>1373</v>
      </c>
      <c r="R97" s="17" t="s">
        <v>610</v>
      </c>
      <c r="S97" s="17" t="s">
        <v>29</v>
      </c>
      <c r="T97" s="17" t="s">
        <v>1388</v>
      </c>
      <c r="U97" s="17" t="s">
        <v>1389</v>
      </c>
      <c r="V97" s="17" t="s">
        <v>1260</v>
      </c>
      <c r="W97" s="17" t="s">
        <v>209</v>
      </c>
      <c r="X97" s="17" t="s">
        <v>1378</v>
      </c>
      <c r="Y97" s="17" t="s">
        <v>149</v>
      </c>
      <c r="Z97" s="17" t="s">
        <v>151</v>
      </c>
      <c r="AA97" s="17" t="s">
        <v>162</v>
      </c>
      <c r="AB97" s="17" t="s">
        <v>341</v>
      </c>
      <c r="AC97" s="19" t="s">
        <v>38</v>
      </c>
      <c r="AD97" s="20" t="s">
        <v>350</v>
      </c>
      <c r="AE97" s="21" t="s">
        <v>174</v>
      </c>
      <c r="AF97" s="22" t="s">
        <v>182</v>
      </c>
    </row>
    <row r="98" ht="43.5" customHeight="1">
      <c r="A98" s="17" t="s">
        <v>1392</v>
      </c>
      <c r="B98" s="17">
        <v>94.0</v>
      </c>
      <c r="C98" s="17" t="s">
        <v>1366</v>
      </c>
      <c r="D98" s="17">
        <v>7.0</v>
      </c>
      <c r="E98" s="17" t="s">
        <v>1367</v>
      </c>
      <c r="F98" s="17" t="s">
        <v>86</v>
      </c>
      <c r="G98" s="17">
        <v>3.0</v>
      </c>
      <c r="H98" s="17" t="s">
        <v>240</v>
      </c>
      <c r="I98" s="17" t="s">
        <v>518</v>
      </c>
      <c r="J98" s="17" t="s">
        <v>89</v>
      </c>
      <c r="K98" s="17" t="s">
        <v>91</v>
      </c>
      <c r="L98" s="17" t="s">
        <v>91</v>
      </c>
      <c r="M98" s="17" t="s">
        <v>520</v>
      </c>
      <c r="N98" s="17" t="s">
        <v>84</v>
      </c>
      <c r="O98" s="17" t="s">
        <v>249</v>
      </c>
      <c r="P98" s="17" t="s">
        <v>252</v>
      </c>
      <c r="Q98" s="17" t="s">
        <v>93</v>
      </c>
      <c r="R98" s="17" t="s">
        <v>484</v>
      </c>
      <c r="S98" s="17" t="s">
        <v>29</v>
      </c>
      <c r="T98" s="17" t="s">
        <v>524</v>
      </c>
      <c r="U98" s="17" t="s">
        <v>525</v>
      </c>
      <c r="V98" s="17" t="s">
        <v>1395</v>
      </c>
      <c r="W98" s="17" t="s">
        <v>260</v>
      </c>
      <c r="X98" s="17" t="s">
        <v>1378</v>
      </c>
      <c r="Y98" s="17" t="s">
        <v>261</v>
      </c>
      <c r="Z98" s="17" t="s">
        <v>151</v>
      </c>
      <c r="AA98" s="17" t="s">
        <v>162</v>
      </c>
      <c r="AB98" s="17" t="s">
        <v>1398</v>
      </c>
      <c r="AC98" s="19" t="s">
        <v>38</v>
      </c>
      <c r="AD98" s="20" t="s">
        <v>350</v>
      </c>
      <c r="AE98" s="21" t="s">
        <v>174</v>
      </c>
      <c r="AF98" s="23" t="s">
        <v>272</v>
      </c>
    </row>
    <row r="99" ht="43.5" customHeight="1">
      <c r="A99" s="17" t="s">
        <v>1399</v>
      </c>
      <c r="B99" s="17">
        <v>95.0</v>
      </c>
      <c r="C99" s="17" t="s">
        <v>1366</v>
      </c>
      <c r="D99" s="17">
        <v>7.0</v>
      </c>
      <c r="E99" s="17" t="s">
        <v>1367</v>
      </c>
      <c r="F99" s="17" t="s">
        <v>276</v>
      </c>
      <c r="G99" s="17">
        <v>3.0</v>
      </c>
      <c r="H99" s="17" t="s">
        <v>123</v>
      </c>
      <c r="I99" s="17" t="s">
        <v>1401</v>
      </c>
      <c r="J99" s="17" t="s">
        <v>1402</v>
      </c>
      <c r="K99" s="17" t="s">
        <v>1403</v>
      </c>
      <c r="L99" s="17" t="s">
        <v>1403</v>
      </c>
      <c r="M99" s="17" t="s">
        <v>1253</v>
      </c>
      <c r="N99" s="17"/>
      <c r="O99" s="17" t="s">
        <v>249</v>
      </c>
      <c r="P99" s="17" t="s">
        <v>1372</v>
      </c>
      <c r="Q99" s="17" t="s">
        <v>1373</v>
      </c>
      <c r="R99" s="17" t="s">
        <v>610</v>
      </c>
      <c r="S99" s="17" t="s">
        <v>29</v>
      </c>
      <c r="T99" s="17" t="s">
        <v>1404</v>
      </c>
      <c r="U99" s="17" t="s">
        <v>1406</v>
      </c>
      <c r="V99" s="17" t="s">
        <v>1407</v>
      </c>
      <c r="W99" s="17" t="s">
        <v>209</v>
      </c>
      <c r="X99" s="17" t="s">
        <v>1378</v>
      </c>
      <c r="Y99" s="17" t="s">
        <v>149</v>
      </c>
      <c r="Z99" s="17" t="s">
        <v>151</v>
      </c>
      <c r="AA99" s="17" t="s">
        <v>162</v>
      </c>
      <c r="AB99" s="17" t="s">
        <v>341</v>
      </c>
      <c r="AC99" s="19" t="s">
        <v>38</v>
      </c>
      <c r="AD99" s="20" t="s">
        <v>350</v>
      </c>
      <c r="AE99" s="21" t="s">
        <v>174</v>
      </c>
      <c r="AF99" s="22" t="s">
        <v>182</v>
      </c>
    </row>
    <row r="100" ht="43.5" customHeight="1">
      <c r="A100" s="17" t="s">
        <v>1410</v>
      </c>
      <c r="B100" s="17">
        <v>96.0</v>
      </c>
      <c r="C100" s="17" t="s">
        <v>1366</v>
      </c>
      <c r="D100" s="17">
        <v>7.0</v>
      </c>
      <c r="E100" s="17" t="s">
        <v>1367</v>
      </c>
      <c r="F100" s="17" t="s">
        <v>276</v>
      </c>
      <c r="G100" s="17">
        <v>4.0</v>
      </c>
      <c r="H100" s="17" t="s">
        <v>123</v>
      </c>
      <c r="I100" s="17" t="s">
        <v>1412</v>
      </c>
      <c r="J100" s="17" t="s">
        <v>1413</v>
      </c>
      <c r="K100" s="17" t="s">
        <v>1414</v>
      </c>
      <c r="L100" s="17" t="s">
        <v>1414</v>
      </c>
      <c r="M100" s="17" t="s">
        <v>1403</v>
      </c>
      <c r="N100" s="17"/>
      <c r="O100" s="17" t="s">
        <v>249</v>
      </c>
      <c r="P100" s="17" t="s">
        <v>1372</v>
      </c>
      <c r="Q100" s="17" t="s">
        <v>1373</v>
      </c>
      <c r="R100" s="17" t="s">
        <v>610</v>
      </c>
      <c r="S100" s="17" t="s">
        <v>29</v>
      </c>
      <c r="T100" s="17" t="s">
        <v>1415</v>
      </c>
      <c r="U100" s="17" t="s">
        <v>1417</v>
      </c>
      <c r="V100" s="17" t="s">
        <v>1418</v>
      </c>
      <c r="W100" s="17" t="s">
        <v>209</v>
      </c>
      <c r="X100" s="17" t="s">
        <v>1378</v>
      </c>
      <c r="Y100" s="17" t="s">
        <v>149</v>
      </c>
      <c r="Z100" s="17" t="s">
        <v>151</v>
      </c>
      <c r="AA100" s="17" t="s">
        <v>162</v>
      </c>
      <c r="AB100" s="17" t="s">
        <v>341</v>
      </c>
      <c r="AC100" s="19" t="s">
        <v>38</v>
      </c>
      <c r="AD100" s="20" t="s">
        <v>350</v>
      </c>
      <c r="AE100" s="21" t="s">
        <v>174</v>
      </c>
      <c r="AF100" s="22" t="s">
        <v>182</v>
      </c>
    </row>
    <row r="101" ht="43.5" customHeight="1">
      <c r="A101" s="17" t="s">
        <v>1420</v>
      </c>
      <c r="B101" s="17">
        <v>97.0</v>
      </c>
      <c r="C101" s="17" t="s">
        <v>1366</v>
      </c>
      <c r="D101" s="17">
        <v>7.0</v>
      </c>
      <c r="E101" s="17" t="s">
        <v>1367</v>
      </c>
      <c r="F101" s="17" t="s">
        <v>276</v>
      </c>
      <c r="G101" s="17">
        <v>5.0</v>
      </c>
      <c r="H101" s="17" t="s">
        <v>123</v>
      </c>
      <c r="I101" s="17" t="s">
        <v>1421</v>
      </c>
      <c r="J101" s="17" t="s">
        <v>1422</v>
      </c>
      <c r="K101" s="17" t="s">
        <v>1423</v>
      </c>
      <c r="L101" s="17" t="s">
        <v>1423</v>
      </c>
      <c r="M101" s="17" t="s">
        <v>1414</v>
      </c>
      <c r="N101" s="17"/>
      <c r="O101" s="17" t="s">
        <v>249</v>
      </c>
      <c r="P101" s="17" t="s">
        <v>1372</v>
      </c>
      <c r="Q101" s="17" t="s">
        <v>1373</v>
      </c>
      <c r="R101" s="17" t="s">
        <v>610</v>
      </c>
      <c r="S101" s="17" t="s">
        <v>29</v>
      </c>
      <c r="T101" s="17" t="s">
        <v>1424</v>
      </c>
      <c r="U101" s="17" t="s">
        <v>1425</v>
      </c>
      <c r="V101" s="17" t="s">
        <v>1426</v>
      </c>
      <c r="W101" s="17" t="s">
        <v>145</v>
      </c>
      <c r="X101" s="17" t="s">
        <v>1378</v>
      </c>
      <c r="Y101" s="17" t="s">
        <v>149</v>
      </c>
      <c r="Z101" s="17" t="s">
        <v>151</v>
      </c>
      <c r="AA101" s="17" t="s">
        <v>162</v>
      </c>
      <c r="AB101" s="17" t="s">
        <v>341</v>
      </c>
      <c r="AC101" s="19" t="s">
        <v>38</v>
      </c>
      <c r="AD101" s="20" t="s">
        <v>350</v>
      </c>
      <c r="AE101" s="21" t="s">
        <v>174</v>
      </c>
      <c r="AF101" s="22" t="s">
        <v>182</v>
      </c>
    </row>
    <row r="102" ht="43.5" customHeight="1">
      <c r="A102" s="17" t="s">
        <v>1427</v>
      </c>
      <c r="B102" s="17">
        <v>98.0</v>
      </c>
      <c r="C102" s="17" t="s">
        <v>1366</v>
      </c>
      <c r="D102" s="17">
        <v>7.0</v>
      </c>
      <c r="E102" s="17" t="s">
        <v>1367</v>
      </c>
      <c r="F102" s="17" t="s">
        <v>276</v>
      </c>
      <c r="G102" s="17">
        <v>7.0</v>
      </c>
      <c r="H102" s="17" t="s">
        <v>240</v>
      </c>
      <c r="I102" s="17" t="s">
        <v>930</v>
      </c>
      <c r="J102" s="17" t="s">
        <v>278</v>
      </c>
      <c r="K102" s="17" t="s">
        <v>279</v>
      </c>
      <c r="L102" s="17" t="s">
        <v>279</v>
      </c>
      <c r="M102" s="17" t="s">
        <v>932</v>
      </c>
      <c r="N102" s="17" t="s">
        <v>275</v>
      </c>
      <c r="O102" s="17" t="s">
        <v>249</v>
      </c>
      <c r="P102" s="17" t="s">
        <v>252</v>
      </c>
      <c r="Q102" s="17" t="s">
        <v>280</v>
      </c>
      <c r="R102" s="17" t="s">
        <v>610</v>
      </c>
      <c r="S102" s="17" t="s">
        <v>29</v>
      </c>
      <c r="T102" s="17" t="s">
        <v>933</v>
      </c>
      <c r="U102" s="17" t="s">
        <v>935</v>
      </c>
      <c r="V102" s="17" t="s">
        <v>1428</v>
      </c>
      <c r="W102" s="17" t="s">
        <v>260</v>
      </c>
      <c r="X102" s="17" t="s">
        <v>1378</v>
      </c>
      <c r="Y102" s="17" t="s">
        <v>261</v>
      </c>
      <c r="Z102" s="17" t="s">
        <v>151</v>
      </c>
      <c r="AA102" s="17" t="s">
        <v>162</v>
      </c>
      <c r="AB102" s="17" t="s">
        <v>1398</v>
      </c>
      <c r="AC102" s="19" t="s">
        <v>38</v>
      </c>
      <c r="AD102" s="20" t="s">
        <v>350</v>
      </c>
      <c r="AE102" s="21" t="s">
        <v>174</v>
      </c>
      <c r="AF102" s="23" t="s">
        <v>272</v>
      </c>
    </row>
    <row r="103" ht="43.5" customHeight="1">
      <c r="A103" s="17" t="s">
        <v>1432</v>
      </c>
      <c r="B103" s="17">
        <v>99.0</v>
      </c>
      <c r="C103" s="17" t="s">
        <v>1366</v>
      </c>
      <c r="D103" s="17">
        <v>7.0</v>
      </c>
      <c r="E103" s="17" t="s">
        <v>1367</v>
      </c>
      <c r="F103" s="17" t="s">
        <v>276</v>
      </c>
      <c r="G103" s="17">
        <v>6.0</v>
      </c>
      <c r="H103" s="17" t="s">
        <v>123</v>
      </c>
      <c r="I103" s="17" t="s">
        <v>1436</v>
      </c>
      <c r="J103" s="17" t="s">
        <v>1437</v>
      </c>
      <c r="K103" s="17" t="s">
        <v>1370</v>
      </c>
      <c r="L103" s="17" t="s">
        <v>1370</v>
      </c>
      <c r="M103" s="17" t="s">
        <v>1423</v>
      </c>
      <c r="N103" s="17"/>
      <c r="O103" s="17" t="s">
        <v>249</v>
      </c>
      <c r="P103" s="17" t="s">
        <v>1372</v>
      </c>
      <c r="Q103" s="17" t="s">
        <v>1373</v>
      </c>
      <c r="R103" s="17" t="s">
        <v>610</v>
      </c>
      <c r="S103" s="17" t="s">
        <v>29</v>
      </c>
      <c r="T103" s="17" t="s">
        <v>1374</v>
      </c>
      <c r="U103" s="17" t="s">
        <v>1438</v>
      </c>
      <c r="V103" s="17" t="s">
        <v>1376</v>
      </c>
      <c r="W103" s="17" t="s">
        <v>209</v>
      </c>
      <c r="X103" s="17" t="s">
        <v>1378</v>
      </c>
      <c r="Y103" s="17" t="s">
        <v>149</v>
      </c>
      <c r="Z103" s="17" t="s">
        <v>151</v>
      </c>
      <c r="AA103" s="17" t="s">
        <v>162</v>
      </c>
      <c r="AB103" s="17" t="s">
        <v>341</v>
      </c>
      <c r="AC103" s="19" t="s">
        <v>38</v>
      </c>
      <c r="AD103" s="20" t="s">
        <v>350</v>
      </c>
      <c r="AE103" s="21" t="s">
        <v>174</v>
      </c>
      <c r="AF103" s="24" t="s">
        <v>315</v>
      </c>
    </row>
    <row r="104" ht="43.5" customHeight="1">
      <c r="A104" s="17" t="s">
        <v>1444</v>
      </c>
      <c r="B104" s="17">
        <v>100.0</v>
      </c>
      <c r="C104" s="17" t="s">
        <v>1366</v>
      </c>
      <c r="D104" s="17">
        <v>7.0</v>
      </c>
      <c r="E104" s="17" t="s">
        <v>1367</v>
      </c>
      <c r="F104" s="17" t="s">
        <v>276</v>
      </c>
      <c r="G104" s="17">
        <v>7.0</v>
      </c>
      <c r="H104" s="17" t="s">
        <v>123</v>
      </c>
      <c r="I104" s="17" t="s">
        <v>1346</v>
      </c>
      <c r="J104" s="17" t="s">
        <v>1348</v>
      </c>
      <c r="K104" s="17" t="s">
        <v>1253</v>
      </c>
      <c r="L104" s="17" t="s">
        <v>1253</v>
      </c>
      <c r="M104" s="17" t="s">
        <v>1370</v>
      </c>
      <c r="N104" s="17"/>
      <c r="O104" s="17" t="s">
        <v>249</v>
      </c>
      <c r="P104" s="17" t="s">
        <v>1372</v>
      </c>
      <c r="Q104" s="17" t="s">
        <v>1373</v>
      </c>
      <c r="R104" s="17" t="s">
        <v>610</v>
      </c>
      <c r="S104" s="17" t="s">
        <v>29</v>
      </c>
      <c r="T104" s="17" t="s">
        <v>1388</v>
      </c>
      <c r="U104" s="17" t="s">
        <v>1350</v>
      </c>
      <c r="V104" s="17" t="s">
        <v>1260</v>
      </c>
      <c r="W104" s="17" t="s">
        <v>209</v>
      </c>
      <c r="X104" s="17" t="s">
        <v>1378</v>
      </c>
      <c r="Y104" s="17" t="s">
        <v>149</v>
      </c>
      <c r="Z104" s="17" t="s">
        <v>151</v>
      </c>
      <c r="AA104" s="17" t="s">
        <v>162</v>
      </c>
      <c r="AB104" s="17" t="s">
        <v>341</v>
      </c>
      <c r="AC104" s="19" t="s">
        <v>38</v>
      </c>
      <c r="AD104" s="20" t="s">
        <v>350</v>
      </c>
      <c r="AE104" s="21" t="s">
        <v>174</v>
      </c>
      <c r="AF104" s="24" t="s">
        <v>315</v>
      </c>
    </row>
    <row r="105" ht="43.5" customHeight="1">
      <c r="A105" s="17" t="s">
        <v>1447</v>
      </c>
      <c r="B105" s="17">
        <v>101.0</v>
      </c>
      <c r="C105" s="17" t="s">
        <v>1366</v>
      </c>
      <c r="D105" s="17">
        <v>7.0</v>
      </c>
      <c r="E105" s="17" t="s">
        <v>1367</v>
      </c>
      <c r="F105" s="17" t="s">
        <v>276</v>
      </c>
      <c r="G105" s="17">
        <v>8.0</v>
      </c>
      <c r="H105" s="17" t="s">
        <v>123</v>
      </c>
      <c r="I105" s="17" t="s">
        <v>1448</v>
      </c>
      <c r="J105" s="17" t="s">
        <v>1449</v>
      </c>
      <c r="K105" s="17" t="s">
        <v>1403</v>
      </c>
      <c r="L105" s="17" t="s">
        <v>1403</v>
      </c>
      <c r="M105" s="17" t="s">
        <v>1253</v>
      </c>
      <c r="N105" s="17"/>
      <c r="O105" s="17" t="s">
        <v>249</v>
      </c>
      <c r="P105" s="17" t="s">
        <v>1372</v>
      </c>
      <c r="Q105" s="17" t="s">
        <v>1373</v>
      </c>
      <c r="R105" s="17" t="s">
        <v>610</v>
      </c>
      <c r="S105" s="17" t="s">
        <v>29</v>
      </c>
      <c r="T105" s="17" t="s">
        <v>1404</v>
      </c>
      <c r="U105" s="17" t="s">
        <v>1451</v>
      </c>
      <c r="V105" s="17" t="s">
        <v>1407</v>
      </c>
      <c r="W105" s="17" t="s">
        <v>209</v>
      </c>
      <c r="X105" s="17" t="s">
        <v>1378</v>
      </c>
      <c r="Y105" s="17" t="s">
        <v>149</v>
      </c>
      <c r="Z105" s="17" t="s">
        <v>151</v>
      </c>
      <c r="AA105" s="17" t="s">
        <v>162</v>
      </c>
      <c r="AB105" s="17" t="s">
        <v>341</v>
      </c>
      <c r="AC105" s="19" t="s">
        <v>38</v>
      </c>
      <c r="AD105" s="20" t="s">
        <v>350</v>
      </c>
      <c r="AE105" s="21" t="s">
        <v>174</v>
      </c>
      <c r="AF105" s="24" t="s">
        <v>315</v>
      </c>
    </row>
    <row r="106" ht="43.5" customHeight="1">
      <c r="A106" s="17" t="s">
        <v>1454</v>
      </c>
      <c r="B106" s="17">
        <v>102.0</v>
      </c>
      <c r="C106" s="17" t="s">
        <v>1366</v>
      </c>
      <c r="D106" s="17">
        <v>7.0</v>
      </c>
      <c r="E106" s="17" t="s">
        <v>1367</v>
      </c>
      <c r="F106" s="17" t="s">
        <v>276</v>
      </c>
      <c r="G106" s="17">
        <v>9.0</v>
      </c>
      <c r="H106" s="17" t="s">
        <v>123</v>
      </c>
      <c r="I106" s="17" t="s">
        <v>1458</v>
      </c>
      <c r="J106" s="17" t="s">
        <v>1459</v>
      </c>
      <c r="K106" s="17" t="s">
        <v>1414</v>
      </c>
      <c r="L106" s="17" t="s">
        <v>1414</v>
      </c>
      <c r="M106" s="17" t="s">
        <v>1403</v>
      </c>
      <c r="N106" s="17"/>
      <c r="O106" s="17" t="s">
        <v>249</v>
      </c>
      <c r="P106" s="17" t="s">
        <v>1372</v>
      </c>
      <c r="Q106" s="17" t="s">
        <v>1373</v>
      </c>
      <c r="R106" s="17" t="s">
        <v>610</v>
      </c>
      <c r="S106" s="17" t="s">
        <v>29</v>
      </c>
      <c r="T106" s="17" t="s">
        <v>1415</v>
      </c>
      <c r="U106" s="17" t="s">
        <v>1460</v>
      </c>
      <c r="V106" s="17" t="s">
        <v>1418</v>
      </c>
      <c r="W106" s="17" t="s">
        <v>209</v>
      </c>
      <c r="X106" s="17" t="s">
        <v>1378</v>
      </c>
      <c r="Y106" s="17" t="s">
        <v>149</v>
      </c>
      <c r="Z106" s="17" t="s">
        <v>151</v>
      </c>
      <c r="AA106" s="17" t="s">
        <v>162</v>
      </c>
      <c r="AB106" s="17" t="s">
        <v>341</v>
      </c>
      <c r="AC106" s="19" t="s">
        <v>38</v>
      </c>
      <c r="AD106" s="20" t="s">
        <v>350</v>
      </c>
      <c r="AE106" s="21" t="s">
        <v>174</v>
      </c>
      <c r="AF106" s="24" t="s">
        <v>315</v>
      </c>
    </row>
    <row r="107" ht="43.5" customHeight="1">
      <c r="A107" s="17" t="s">
        <v>1462</v>
      </c>
      <c r="B107" s="17">
        <v>103.0</v>
      </c>
      <c r="C107" s="17" t="s">
        <v>1366</v>
      </c>
      <c r="D107" s="17">
        <v>7.0</v>
      </c>
      <c r="E107" s="17" t="s">
        <v>1367</v>
      </c>
      <c r="F107" s="17" t="s">
        <v>276</v>
      </c>
      <c r="G107" s="17">
        <v>10.0</v>
      </c>
      <c r="H107" s="17" t="s">
        <v>123</v>
      </c>
      <c r="I107" s="17" t="s">
        <v>1465</v>
      </c>
      <c r="J107" s="17" t="s">
        <v>1466</v>
      </c>
      <c r="K107" s="17" t="s">
        <v>1423</v>
      </c>
      <c r="L107" s="17" t="s">
        <v>1423</v>
      </c>
      <c r="M107" s="17" t="s">
        <v>1414</v>
      </c>
      <c r="N107" s="17"/>
      <c r="O107" s="17" t="s">
        <v>249</v>
      </c>
      <c r="P107" s="17" t="s">
        <v>1372</v>
      </c>
      <c r="Q107" s="17" t="s">
        <v>1373</v>
      </c>
      <c r="R107" s="17" t="s">
        <v>610</v>
      </c>
      <c r="S107" s="17" t="s">
        <v>29</v>
      </c>
      <c r="T107" s="17" t="s">
        <v>1424</v>
      </c>
      <c r="U107" s="17" t="s">
        <v>1471</v>
      </c>
      <c r="V107" s="17" t="s">
        <v>1426</v>
      </c>
      <c r="W107" s="17" t="s">
        <v>417</v>
      </c>
      <c r="X107" s="17" t="s">
        <v>1378</v>
      </c>
      <c r="Y107" s="17" t="s">
        <v>149</v>
      </c>
      <c r="Z107" s="17" t="s">
        <v>151</v>
      </c>
      <c r="AA107" s="17" t="s">
        <v>162</v>
      </c>
      <c r="AB107" s="17" t="s">
        <v>341</v>
      </c>
      <c r="AC107" s="19" t="s">
        <v>38</v>
      </c>
      <c r="AD107" s="20" t="s">
        <v>350</v>
      </c>
      <c r="AE107" s="21" t="s">
        <v>174</v>
      </c>
      <c r="AF107" s="24" t="s">
        <v>315</v>
      </c>
    </row>
    <row r="108" ht="43.5" customHeight="1">
      <c r="A108" s="17" t="s">
        <v>1472</v>
      </c>
      <c r="B108" s="17">
        <v>104.0</v>
      </c>
      <c r="C108" s="17" t="s">
        <v>1366</v>
      </c>
      <c r="D108" s="17">
        <v>7.0</v>
      </c>
      <c r="E108" s="17" t="s">
        <v>1367</v>
      </c>
      <c r="F108" s="17" t="s">
        <v>276</v>
      </c>
      <c r="G108" s="17">
        <v>11.0</v>
      </c>
      <c r="H108" s="17" t="s">
        <v>123</v>
      </c>
      <c r="I108" s="17" t="s">
        <v>1474</v>
      </c>
      <c r="J108" s="17" t="s">
        <v>1475</v>
      </c>
      <c r="K108" s="17" t="s">
        <v>1370</v>
      </c>
      <c r="L108" s="17" t="s">
        <v>1370</v>
      </c>
      <c r="M108" s="17" t="s">
        <v>1423</v>
      </c>
      <c r="N108" s="17"/>
      <c r="O108" s="17" t="s">
        <v>249</v>
      </c>
      <c r="P108" s="17" t="s">
        <v>1372</v>
      </c>
      <c r="Q108" s="17" t="s">
        <v>1373</v>
      </c>
      <c r="R108" s="17" t="s">
        <v>610</v>
      </c>
      <c r="S108" s="17" t="s">
        <v>29</v>
      </c>
      <c r="T108" s="17" t="s">
        <v>1374</v>
      </c>
      <c r="U108" s="17" t="s">
        <v>1478</v>
      </c>
      <c r="V108" s="17" t="s">
        <v>1376</v>
      </c>
      <c r="W108" s="17" t="s">
        <v>452</v>
      </c>
      <c r="X108" s="17" t="s">
        <v>1378</v>
      </c>
      <c r="Y108" s="17" t="s">
        <v>149</v>
      </c>
      <c r="Z108" s="17" t="s">
        <v>151</v>
      </c>
      <c r="AA108" s="17" t="s">
        <v>162</v>
      </c>
      <c r="AB108" s="17" t="s">
        <v>341</v>
      </c>
      <c r="AC108" s="19" t="s">
        <v>38</v>
      </c>
      <c r="AD108" s="20" t="s">
        <v>350</v>
      </c>
      <c r="AE108" s="21" t="s">
        <v>174</v>
      </c>
      <c r="AF108" s="22" t="s">
        <v>182</v>
      </c>
    </row>
    <row r="109" ht="43.5" customHeight="1">
      <c r="A109" s="17" t="s">
        <v>1482</v>
      </c>
      <c r="B109" s="17">
        <v>105.0</v>
      </c>
      <c r="C109" s="17" t="s">
        <v>1366</v>
      </c>
      <c r="D109" s="17">
        <v>7.0</v>
      </c>
      <c r="E109" s="17" t="s">
        <v>1367</v>
      </c>
      <c r="F109" s="17" t="s">
        <v>276</v>
      </c>
      <c r="G109" s="17">
        <v>14.0</v>
      </c>
      <c r="H109" s="17" t="s">
        <v>564</v>
      </c>
      <c r="I109" s="17" t="s">
        <v>1484</v>
      </c>
      <c r="J109" s="17" t="s">
        <v>566</v>
      </c>
      <c r="K109" s="17" t="s">
        <v>567</v>
      </c>
      <c r="L109" s="17" t="s">
        <v>568</v>
      </c>
      <c r="M109" s="17" t="s">
        <v>569</v>
      </c>
      <c r="N109" s="17" t="s">
        <v>571</v>
      </c>
      <c r="O109" s="17" t="s">
        <v>130</v>
      </c>
      <c r="P109" s="17" t="s">
        <v>133</v>
      </c>
      <c r="Q109" s="17" t="s">
        <v>573</v>
      </c>
      <c r="R109" s="17" t="s">
        <v>379</v>
      </c>
      <c r="S109" s="17" t="s">
        <v>82</v>
      </c>
      <c r="T109" s="17" t="s">
        <v>574</v>
      </c>
      <c r="U109" s="17" t="s">
        <v>575</v>
      </c>
      <c r="V109" s="17" t="s">
        <v>577</v>
      </c>
      <c r="W109" s="17" t="s">
        <v>578</v>
      </c>
      <c r="X109" s="17" t="s">
        <v>1378</v>
      </c>
      <c r="Y109" s="17" t="s">
        <v>581</v>
      </c>
      <c r="Z109" s="17" t="s">
        <v>151</v>
      </c>
      <c r="AA109" s="17" t="s">
        <v>162</v>
      </c>
      <c r="AB109" s="17" t="s">
        <v>582</v>
      </c>
      <c r="AC109" s="19" t="s">
        <v>38</v>
      </c>
      <c r="AD109" s="20" t="s">
        <v>350</v>
      </c>
      <c r="AE109" s="21" t="s">
        <v>174</v>
      </c>
      <c r="AF109" s="22" t="s">
        <v>182</v>
      </c>
    </row>
    <row r="110" ht="43.5" customHeight="1">
      <c r="A110" s="17" t="s">
        <v>1491</v>
      </c>
      <c r="B110" s="17">
        <v>106.0</v>
      </c>
      <c r="C110" s="17" t="s">
        <v>1366</v>
      </c>
      <c r="D110" s="17">
        <v>7.0</v>
      </c>
      <c r="E110" s="17" t="s">
        <v>1367</v>
      </c>
      <c r="F110" s="17" t="s">
        <v>276</v>
      </c>
      <c r="G110" s="17">
        <v>15.0</v>
      </c>
      <c r="H110" s="17" t="s">
        <v>586</v>
      </c>
      <c r="I110" s="17" t="s">
        <v>1493</v>
      </c>
      <c r="J110" s="17" t="s">
        <v>1494</v>
      </c>
      <c r="K110" s="17" t="s">
        <v>1495</v>
      </c>
      <c r="L110" s="17" t="s">
        <v>1423</v>
      </c>
      <c r="M110" s="17" t="s">
        <v>591</v>
      </c>
      <c r="N110" s="17"/>
      <c r="O110" s="17" t="s">
        <v>592</v>
      </c>
      <c r="P110" s="17" t="s">
        <v>878</v>
      </c>
      <c r="Q110" s="17" t="s">
        <v>1373</v>
      </c>
      <c r="R110" s="17" t="s">
        <v>610</v>
      </c>
      <c r="S110" s="17" t="s">
        <v>29</v>
      </c>
      <c r="T110" s="17" t="s">
        <v>595</v>
      </c>
      <c r="U110" s="17" t="s">
        <v>1478</v>
      </c>
      <c r="V110" s="17" t="s">
        <v>1498</v>
      </c>
      <c r="W110" s="17" t="s">
        <v>597</v>
      </c>
      <c r="X110" s="17" t="s">
        <v>1378</v>
      </c>
      <c r="Y110" s="17" t="s">
        <v>149</v>
      </c>
      <c r="Z110" s="17" t="s">
        <v>151</v>
      </c>
      <c r="AA110" s="17" t="s">
        <v>162</v>
      </c>
      <c r="AB110" s="17" t="s">
        <v>598</v>
      </c>
      <c r="AC110" s="19" t="s">
        <v>38</v>
      </c>
      <c r="AD110" s="20" t="s">
        <v>350</v>
      </c>
      <c r="AE110" s="21" t="s">
        <v>174</v>
      </c>
      <c r="AF110" s="23" t="s">
        <v>272</v>
      </c>
    </row>
    <row r="111" ht="43.5" customHeight="1">
      <c r="A111" s="17" t="s">
        <v>1504</v>
      </c>
      <c r="B111" s="17">
        <v>107.0</v>
      </c>
      <c r="C111" s="17" t="s">
        <v>1505</v>
      </c>
      <c r="D111" s="17">
        <v>8.0</v>
      </c>
      <c r="E111" s="17" t="s">
        <v>1506</v>
      </c>
      <c r="F111" s="17" t="s">
        <v>101</v>
      </c>
      <c r="G111" s="17">
        <v>1.0</v>
      </c>
      <c r="H111" s="17" t="s">
        <v>123</v>
      </c>
      <c r="I111" s="17" t="s">
        <v>1507</v>
      </c>
      <c r="J111" s="17" t="s">
        <v>1508</v>
      </c>
      <c r="K111" s="17" t="s">
        <v>1509</v>
      </c>
      <c r="L111" s="17" t="s">
        <v>1509</v>
      </c>
      <c r="M111" s="17" t="s">
        <v>128</v>
      </c>
      <c r="N111" s="17"/>
      <c r="O111" s="17" t="s">
        <v>249</v>
      </c>
      <c r="P111" s="17" t="s">
        <v>1511</v>
      </c>
      <c r="Q111" s="17" t="s">
        <v>1512</v>
      </c>
      <c r="R111" s="17" t="s">
        <v>880</v>
      </c>
      <c r="S111" s="17" t="s">
        <v>29</v>
      </c>
      <c r="T111" s="17" t="s">
        <v>1513</v>
      </c>
      <c r="U111" s="17" t="s">
        <v>1514</v>
      </c>
      <c r="V111" s="17" t="s">
        <v>1515</v>
      </c>
      <c r="W111" s="17" t="s">
        <v>145</v>
      </c>
      <c r="X111" s="17" t="s">
        <v>1517</v>
      </c>
      <c r="Y111" s="17" t="s">
        <v>149</v>
      </c>
      <c r="Z111" s="17" t="s">
        <v>151</v>
      </c>
      <c r="AA111" s="17" t="s">
        <v>162</v>
      </c>
      <c r="AB111" s="17" t="s">
        <v>341</v>
      </c>
      <c r="AC111" s="19" t="s">
        <v>38</v>
      </c>
      <c r="AD111" s="20" t="s">
        <v>350</v>
      </c>
      <c r="AE111" s="21" t="s">
        <v>174</v>
      </c>
      <c r="AF111" s="22" t="s">
        <v>182</v>
      </c>
    </row>
    <row r="112" ht="43.5" customHeight="1">
      <c r="A112" s="17" t="s">
        <v>1520</v>
      </c>
      <c r="B112" s="17">
        <v>108.0</v>
      </c>
      <c r="C112" s="17" t="s">
        <v>1505</v>
      </c>
      <c r="D112" s="17">
        <v>8.0</v>
      </c>
      <c r="E112" s="17" t="s">
        <v>1506</v>
      </c>
      <c r="F112" s="17" t="s">
        <v>101</v>
      </c>
      <c r="G112" s="17">
        <v>2.0</v>
      </c>
      <c r="H112" s="17" t="s">
        <v>123</v>
      </c>
      <c r="I112" s="17" t="s">
        <v>1524</v>
      </c>
      <c r="J112" s="17" t="s">
        <v>1525</v>
      </c>
      <c r="K112" s="17" t="s">
        <v>1526</v>
      </c>
      <c r="L112" s="17" t="s">
        <v>1526</v>
      </c>
      <c r="M112" s="17" t="s">
        <v>1509</v>
      </c>
      <c r="N112" s="17"/>
      <c r="O112" s="17" t="s">
        <v>249</v>
      </c>
      <c r="P112" s="17" t="s">
        <v>1511</v>
      </c>
      <c r="Q112" s="17" t="s">
        <v>1512</v>
      </c>
      <c r="R112" s="17" t="s">
        <v>880</v>
      </c>
      <c r="S112" s="17" t="s">
        <v>29</v>
      </c>
      <c r="T112" s="17" t="s">
        <v>1527</v>
      </c>
      <c r="U112" s="17" t="s">
        <v>1528</v>
      </c>
      <c r="V112" s="17" t="s">
        <v>1529</v>
      </c>
      <c r="W112" s="17" t="s">
        <v>209</v>
      </c>
      <c r="X112" s="17" t="s">
        <v>1517</v>
      </c>
      <c r="Y112" s="17" t="s">
        <v>149</v>
      </c>
      <c r="Z112" s="17" t="s">
        <v>151</v>
      </c>
      <c r="AA112" s="17" t="s">
        <v>162</v>
      </c>
      <c r="AB112" s="17" t="s">
        <v>341</v>
      </c>
      <c r="AC112" s="19" t="s">
        <v>38</v>
      </c>
      <c r="AD112" s="20" t="s">
        <v>350</v>
      </c>
      <c r="AE112" s="21" t="s">
        <v>174</v>
      </c>
      <c r="AF112" s="22" t="s">
        <v>182</v>
      </c>
    </row>
    <row r="113" ht="43.5" customHeight="1">
      <c r="A113" s="17" t="s">
        <v>1531</v>
      </c>
      <c r="B113" s="17">
        <v>109.0</v>
      </c>
      <c r="C113" s="17" t="s">
        <v>1505</v>
      </c>
      <c r="D113" s="17">
        <v>8.0</v>
      </c>
      <c r="E113" s="17" t="s">
        <v>1506</v>
      </c>
      <c r="F113" s="17" t="s">
        <v>101</v>
      </c>
      <c r="G113" s="17">
        <v>3.0</v>
      </c>
      <c r="H113" s="17" t="s">
        <v>240</v>
      </c>
      <c r="I113" s="17" t="s">
        <v>1534</v>
      </c>
      <c r="J113" s="17" t="s">
        <v>253</v>
      </c>
      <c r="K113" s="17" t="s">
        <v>254</v>
      </c>
      <c r="L113" s="17" t="s">
        <v>254</v>
      </c>
      <c r="M113" s="17" t="s">
        <v>1535</v>
      </c>
      <c r="N113" s="17" t="s">
        <v>250</v>
      </c>
      <c r="O113" s="17" t="s">
        <v>249</v>
      </c>
      <c r="P113" s="17" t="s">
        <v>252</v>
      </c>
      <c r="Q113" s="17" t="s">
        <v>255</v>
      </c>
      <c r="R113" s="17" t="s">
        <v>880</v>
      </c>
      <c r="S113" s="17" t="s">
        <v>248</v>
      </c>
      <c r="T113" s="17" t="s">
        <v>1538</v>
      </c>
      <c r="U113" s="17" t="s">
        <v>1539</v>
      </c>
      <c r="V113" s="17" t="s">
        <v>1541</v>
      </c>
      <c r="W113" s="17" t="s">
        <v>260</v>
      </c>
      <c r="X113" s="17" t="s">
        <v>1517</v>
      </c>
      <c r="Y113" s="17" t="s">
        <v>261</v>
      </c>
      <c r="Z113" s="17" t="s">
        <v>151</v>
      </c>
      <c r="AA113" s="17" t="s">
        <v>162</v>
      </c>
      <c r="AB113" s="17" t="s">
        <v>1544</v>
      </c>
      <c r="AC113" s="19" t="s">
        <v>38</v>
      </c>
      <c r="AD113" s="20" t="s">
        <v>350</v>
      </c>
      <c r="AE113" s="21" t="s">
        <v>174</v>
      </c>
      <c r="AF113" s="23" t="s">
        <v>272</v>
      </c>
    </row>
    <row r="114" ht="43.5" customHeight="1">
      <c r="A114" s="17" t="s">
        <v>1546</v>
      </c>
      <c r="B114" s="17">
        <v>110.0</v>
      </c>
      <c r="C114" s="17" t="s">
        <v>1505</v>
      </c>
      <c r="D114" s="17">
        <v>8.0</v>
      </c>
      <c r="E114" s="17" t="s">
        <v>1506</v>
      </c>
      <c r="F114" s="17" t="s">
        <v>101</v>
      </c>
      <c r="G114" s="17">
        <v>3.0</v>
      </c>
      <c r="H114" s="17" t="s">
        <v>123</v>
      </c>
      <c r="I114" s="17" t="s">
        <v>1549</v>
      </c>
      <c r="J114" s="17" t="s">
        <v>1550</v>
      </c>
      <c r="K114" s="17" t="s">
        <v>1552</v>
      </c>
      <c r="L114" s="17" t="s">
        <v>1552</v>
      </c>
      <c r="M114" s="17" t="s">
        <v>1526</v>
      </c>
      <c r="N114" s="17"/>
      <c r="O114" s="17" t="s">
        <v>249</v>
      </c>
      <c r="P114" s="17" t="s">
        <v>1511</v>
      </c>
      <c r="Q114" s="17" t="s">
        <v>1512</v>
      </c>
      <c r="R114" s="17" t="s">
        <v>880</v>
      </c>
      <c r="S114" s="17" t="s">
        <v>29</v>
      </c>
      <c r="T114" s="17" t="s">
        <v>1553</v>
      </c>
      <c r="U114" s="17" t="s">
        <v>1554</v>
      </c>
      <c r="V114" s="17" t="s">
        <v>1556</v>
      </c>
      <c r="W114" s="17" t="s">
        <v>209</v>
      </c>
      <c r="X114" s="17" t="s">
        <v>1517</v>
      </c>
      <c r="Y114" s="17" t="s">
        <v>149</v>
      </c>
      <c r="Z114" s="17" t="s">
        <v>151</v>
      </c>
      <c r="AA114" s="17" t="s">
        <v>162</v>
      </c>
      <c r="AB114" s="17" t="s">
        <v>341</v>
      </c>
      <c r="AC114" s="19" t="s">
        <v>38</v>
      </c>
      <c r="AD114" s="20" t="s">
        <v>350</v>
      </c>
      <c r="AE114" s="21" t="s">
        <v>174</v>
      </c>
      <c r="AF114" s="22" t="s">
        <v>182</v>
      </c>
    </row>
    <row r="115" ht="43.5" customHeight="1">
      <c r="A115" s="17" t="s">
        <v>1560</v>
      </c>
      <c r="B115" s="17">
        <v>111.0</v>
      </c>
      <c r="C115" s="17" t="s">
        <v>1505</v>
      </c>
      <c r="D115" s="17">
        <v>8.0</v>
      </c>
      <c r="E115" s="17" t="s">
        <v>1506</v>
      </c>
      <c r="F115" s="17" t="s">
        <v>101</v>
      </c>
      <c r="G115" s="17">
        <v>4.0</v>
      </c>
      <c r="H115" s="17" t="s">
        <v>123</v>
      </c>
      <c r="I115" s="17" t="s">
        <v>1561</v>
      </c>
      <c r="J115" s="17" t="s">
        <v>1563</v>
      </c>
      <c r="K115" s="17" t="s">
        <v>1564</v>
      </c>
      <c r="L115" s="17" t="s">
        <v>1564</v>
      </c>
      <c r="M115" s="17" t="s">
        <v>1552</v>
      </c>
      <c r="N115" s="17"/>
      <c r="O115" s="17" t="s">
        <v>249</v>
      </c>
      <c r="P115" s="17" t="s">
        <v>1511</v>
      </c>
      <c r="Q115" s="17" t="s">
        <v>1512</v>
      </c>
      <c r="R115" s="17" t="s">
        <v>880</v>
      </c>
      <c r="S115" s="17" t="s">
        <v>29</v>
      </c>
      <c r="T115" s="17" t="s">
        <v>1567</v>
      </c>
      <c r="U115" s="17" t="s">
        <v>1568</v>
      </c>
      <c r="V115" s="17" t="s">
        <v>1569</v>
      </c>
      <c r="W115" s="17" t="s">
        <v>209</v>
      </c>
      <c r="X115" s="17" t="s">
        <v>1517</v>
      </c>
      <c r="Y115" s="17" t="s">
        <v>149</v>
      </c>
      <c r="Z115" s="17" t="s">
        <v>151</v>
      </c>
      <c r="AA115" s="17" t="s">
        <v>162</v>
      </c>
      <c r="AB115" s="17" t="s">
        <v>341</v>
      </c>
      <c r="AC115" s="19" t="s">
        <v>38</v>
      </c>
      <c r="AD115" s="20" t="s">
        <v>350</v>
      </c>
      <c r="AE115" s="21" t="s">
        <v>174</v>
      </c>
      <c r="AF115" s="22" t="s">
        <v>182</v>
      </c>
    </row>
    <row r="116" ht="43.5" customHeight="1">
      <c r="A116" s="17" t="s">
        <v>1571</v>
      </c>
      <c r="B116" s="17">
        <v>112.0</v>
      </c>
      <c r="C116" s="17" t="s">
        <v>1505</v>
      </c>
      <c r="D116" s="17">
        <v>8.0</v>
      </c>
      <c r="E116" s="17" t="s">
        <v>1506</v>
      </c>
      <c r="F116" s="17" t="s">
        <v>101</v>
      </c>
      <c r="G116" s="17">
        <v>5.0</v>
      </c>
      <c r="H116" s="17" t="s">
        <v>123</v>
      </c>
      <c r="I116" s="17" t="s">
        <v>1574</v>
      </c>
      <c r="J116" s="17" t="s">
        <v>1575</v>
      </c>
      <c r="K116" s="17" t="s">
        <v>1576</v>
      </c>
      <c r="L116" s="17" t="s">
        <v>1576</v>
      </c>
      <c r="M116" s="17" t="s">
        <v>1564</v>
      </c>
      <c r="N116" s="17"/>
      <c r="O116" s="17" t="s">
        <v>249</v>
      </c>
      <c r="P116" s="17" t="s">
        <v>1511</v>
      </c>
      <c r="Q116" s="17" t="s">
        <v>1512</v>
      </c>
      <c r="R116" s="17" t="s">
        <v>880</v>
      </c>
      <c r="S116" s="17" t="s">
        <v>29</v>
      </c>
      <c r="T116" s="17" t="s">
        <v>1578</v>
      </c>
      <c r="U116" s="17" t="s">
        <v>1579</v>
      </c>
      <c r="V116" s="17" t="s">
        <v>1580</v>
      </c>
      <c r="W116" s="17" t="s">
        <v>145</v>
      </c>
      <c r="X116" s="17" t="s">
        <v>1517</v>
      </c>
      <c r="Y116" s="17" t="s">
        <v>149</v>
      </c>
      <c r="Z116" s="17" t="s">
        <v>151</v>
      </c>
      <c r="AA116" s="17" t="s">
        <v>162</v>
      </c>
      <c r="AB116" s="17" t="s">
        <v>341</v>
      </c>
      <c r="AC116" s="19" t="s">
        <v>38</v>
      </c>
      <c r="AD116" s="20" t="s">
        <v>350</v>
      </c>
      <c r="AE116" s="21" t="s">
        <v>174</v>
      </c>
      <c r="AF116" s="22" t="s">
        <v>182</v>
      </c>
    </row>
    <row r="117" ht="43.5" customHeight="1">
      <c r="A117" s="17" t="s">
        <v>1582</v>
      </c>
      <c r="B117" s="17">
        <v>113.0</v>
      </c>
      <c r="C117" s="17" t="s">
        <v>1505</v>
      </c>
      <c r="D117" s="17">
        <v>8.0</v>
      </c>
      <c r="E117" s="17" t="s">
        <v>1506</v>
      </c>
      <c r="F117" s="17" t="s">
        <v>101</v>
      </c>
      <c r="G117" s="17">
        <v>7.0</v>
      </c>
      <c r="H117" s="17" t="s">
        <v>240</v>
      </c>
      <c r="I117" s="17" t="s">
        <v>1583</v>
      </c>
      <c r="J117" s="17" t="s">
        <v>265</v>
      </c>
      <c r="K117" s="17" t="s">
        <v>266</v>
      </c>
      <c r="L117" s="17" t="s">
        <v>266</v>
      </c>
      <c r="M117" s="17" t="s">
        <v>1586</v>
      </c>
      <c r="N117" s="17" t="s">
        <v>262</v>
      </c>
      <c r="O117" s="17" t="s">
        <v>249</v>
      </c>
      <c r="P117" s="17" t="s">
        <v>252</v>
      </c>
      <c r="Q117" s="17" t="s">
        <v>267</v>
      </c>
      <c r="R117" s="17" t="s">
        <v>880</v>
      </c>
      <c r="S117" s="17" t="s">
        <v>106</v>
      </c>
      <c r="T117" s="17" t="s">
        <v>1587</v>
      </c>
      <c r="U117" s="17" t="s">
        <v>1588</v>
      </c>
      <c r="V117" s="17" t="s">
        <v>1589</v>
      </c>
      <c r="W117" s="17" t="s">
        <v>260</v>
      </c>
      <c r="X117" s="17" t="s">
        <v>1517</v>
      </c>
      <c r="Y117" s="17" t="s">
        <v>261</v>
      </c>
      <c r="Z117" s="17" t="s">
        <v>151</v>
      </c>
      <c r="AA117" s="17" t="s">
        <v>162</v>
      </c>
      <c r="AB117" s="17" t="s">
        <v>1544</v>
      </c>
      <c r="AC117" s="19" t="s">
        <v>38</v>
      </c>
      <c r="AD117" s="20" t="s">
        <v>350</v>
      </c>
      <c r="AE117" s="21" t="s">
        <v>174</v>
      </c>
      <c r="AF117" s="23" t="s">
        <v>272</v>
      </c>
    </row>
    <row r="118" ht="43.5" customHeight="1">
      <c r="A118" s="17" t="s">
        <v>1591</v>
      </c>
      <c r="B118" s="17">
        <v>114.0</v>
      </c>
      <c r="C118" s="17" t="s">
        <v>1505</v>
      </c>
      <c r="D118" s="17">
        <v>8.0</v>
      </c>
      <c r="E118" s="17" t="s">
        <v>1506</v>
      </c>
      <c r="F118" s="17" t="s">
        <v>101</v>
      </c>
      <c r="G118" s="17">
        <v>6.0</v>
      </c>
      <c r="H118" s="17" t="s">
        <v>123</v>
      </c>
      <c r="I118" s="17" t="s">
        <v>1593</v>
      </c>
      <c r="J118" s="17" t="s">
        <v>1594</v>
      </c>
      <c r="K118" s="17" t="s">
        <v>1509</v>
      </c>
      <c r="L118" s="17" t="s">
        <v>1509</v>
      </c>
      <c r="M118" s="17" t="s">
        <v>1576</v>
      </c>
      <c r="N118" s="17"/>
      <c r="O118" s="17" t="s">
        <v>249</v>
      </c>
      <c r="P118" s="17" t="s">
        <v>1511</v>
      </c>
      <c r="Q118" s="17" t="s">
        <v>1512</v>
      </c>
      <c r="R118" s="17" t="s">
        <v>880</v>
      </c>
      <c r="S118" s="17" t="s">
        <v>29</v>
      </c>
      <c r="T118" s="17" t="s">
        <v>1513</v>
      </c>
      <c r="U118" s="17" t="s">
        <v>1595</v>
      </c>
      <c r="V118" s="17" t="s">
        <v>1515</v>
      </c>
      <c r="W118" s="17" t="s">
        <v>209</v>
      </c>
      <c r="X118" s="17" t="s">
        <v>1517</v>
      </c>
      <c r="Y118" s="17" t="s">
        <v>149</v>
      </c>
      <c r="Z118" s="17" t="s">
        <v>151</v>
      </c>
      <c r="AA118" s="17" t="s">
        <v>162</v>
      </c>
      <c r="AB118" s="17" t="s">
        <v>341</v>
      </c>
      <c r="AC118" s="19" t="s">
        <v>38</v>
      </c>
      <c r="AD118" s="20" t="s">
        <v>350</v>
      </c>
      <c r="AE118" s="21" t="s">
        <v>174</v>
      </c>
      <c r="AF118" s="24" t="s">
        <v>315</v>
      </c>
    </row>
    <row r="119" ht="43.5" customHeight="1">
      <c r="A119" s="17" t="s">
        <v>1599</v>
      </c>
      <c r="B119" s="17">
        <v>115.0</v>
      </c>
      <c r="C119" s="17" t="s">
        <v>1505</v>
      </c>
      <c r="D119" s="17">
        <v>8.0</v>
      </c>
      <c r="E119" s="17" t="s">
        <v>1506</v>
      </c>
      <c r="F119" s="17" t="s">
        <v>101</v>
      </c>
      <c r="G119" s="17">
        <v>7.0</v>
      </c>
      <c r="H119" s="17" t="s">
        <v>123</v>
      </c>
      <c r="I119" s="17" t="s">
        <v>1600</v>
      </c>
      <c r="J119" s="17" t="s">
        <v>1601</v>
      </c>
      <c r="K119" s="17" t="s">
        <v>1526</v>
      </c>
      <c r="L119" s="17" t="s">
        <v>1526</v>
      </c>
      <c r="M119" s="17" t="s">
        <v>1509</v>
      </c>
      <c r="N119" s="17"/>
      <c r="O119" s="17" t="s">
        <v>249</v>
      </c>
      <c r="P119" s="17" t="s">
        <v>1511</v>
      </c>
      <c r="Q119" s="17" t="s">
        <v>1512</v>
      </c>
      <c r="R119" s="17" t="s">
        <v>880</v>
      </c>
      <c r="S119" s="17" t="s">
        <v>29</v>
      </c>
      <c r="T119" s="17" t="s">
        <v>1527</v>
      </c>
      <c r="U119" s="17" t="s">
        <v>1603</v>
      </c>
      <c r="V119" s="17" t="s">
        <v>1529</v>
      </c>
      <c r="W119" s="17" t="s">
        <v>209</v>
      </c>
      <c r="X119" s="17" t="s">
        <v>1517</v>
      </c>
      <c r="Y119" s="17" t="s">
        <v>149</v>
      </c>
      <c r="Z119" s="17" t="s">
        <v>151</v>
      </c>
      <c r="AA119" s="17" t="s">
        <v>162</v>
      </c>
      <c r="AB119" s="17" t="s">
        <v>341</v>
      </c>
      <c r="AC119" s="19" t="s">
        <v>38</v>
      </c>
      <c r="AD119" s="20" t="s">
        <v>350</v>
      </c>
      <c r="AE119" s="21" t="s">
        <v>174</v>
      </c>
      <c r="AF119" s="24" t="s">
        <v>315</v>
      </c>
    </row>
    <row r="120" ht="43.5" customHeight="1">
      <c r="A120" s="17" t="s">
        <v>1605</v>
      </c>
      <c r="B120" s="17">
        <v>116.0</v>
      </c>
      <c r="C120" s="17" t="s">
        <v>1505</v>
      </c>
      <c r="D120" s="17">
        <v>8.0</v>
      </c>
      <c r="E120" s="17" t="s">
        <v>1506</v>
      </c>
      <c r="F120" s="17" t="s">
        <v>101</v>
      </c>
      <c r="G120" s="17">
        <v>8.0</v>
      </c>
      <c r="H120" s="17" t="s">
        <v>123</v>
      </c>
      <c r="I120" s="17" t="s">
        <v>1606</v>
      </c>
      <c r="J120" s="17" t="s">
        <v>1607</v>
      </c>
      <c r="K120" s="17" t="s">
        <v>1552</v>
      </c>
      <c r="L120" s="17" t="s">
        <v>1552</v>
      </c>
      <c r="M120" s="17" t="s">
        <v>1526</v>
      </c>
      <c r="N120" s="17"/>
      <c r="O120" s="17" t="s">
        <v>249</v>
      </c>
      <c r="P120" s="17" t="s">
        <v>1511</v>
      </c>
      <c r="Q120" s="17" t="s">
        <v>1512</v>
      </c>
      <c r="R120" s="17" t="s">
        <v>880</v>
      </c>
      <c r="S120" s="17" t="s">
        <v>29</v>
      </c>
      <c r="T120" s="17" t="s">
        <v>1553</v>
      </c>
      <c r="U120" s="17" t="s">
        <v>1608</v>
      </c>
      <c r="V120" s="17" t="s">
        <v>1556</v>
      </c>
      <c r="W120" s="17" t="s">
        <v>209</v>
      </c>
      <c r="X120" s="17" t="s">
        <v>1517</v>
      </c>
      <c r="Y120" s="17" t="s">
        <v>149</v>
      </c>
      <c r="Z120" s="17" t="s">
        <v>151</v>
      </c>
      <c r="AA120" s="17" t="s">
        <v>162</v>
      </c>
      <c r="AB120" s="17" t="s">
        <v>341</v>
      </c>
      <c r="AC120" s="19" t="s">
        <v>38</v>
      </c>
      <c r="AD120" s="20" t="s">
        <v>350</v>
      </c>
      <c r="AE120" s="21" t="s">
        <v>174</v>
      </c>
      <c r="AF120" s="24" t="s">
        <v>315</v>
      </c>
    </row>
    <row r="121" ht="43.5" customHeight="1">
      <c r="A121" s="17" t="s">
        <v>1609</v>
      </c>
      <c r="B121" s="17">
        <v>117.0</v>
      </c>
      <c r="C121" s="17" t="s">
        <v>1505</v>
      </c>
      <c r="D121" s="17">
        <v>8.0</v>
      </c>
      <c r="E121" s="17" t="s">
        <v>1506</v>
      </c>
      <c r="F121" s="17" t="s">
        <v>101</v>
      </c>
      <c r="G121" s="17">
        <v>11.0</v>
      </c>
      <c r="H121" s="17" t="s">
        <v>240</v>
      </c>
      <c r="I121" s="17" t="s">
        <v>920</v>
      </c>
      <c r="J121" s="17" t="s">
        <v>270</v>
      </c>
      <c r="K121" s="17" t="s">
        <v>271</v>
      </c>
      <c r="L121" s="17" t="s">
        <v>271</v>
      </c>
      <c r="M121" s="17" t="s">
        <v>923</v>
      </c>
      <c r="N121" s="17" t="s">
        <v>268</v>
      </c>
      <c r="O121" s="17" t="s">
        <v>249</v>
      </c>
      <c r="P121" s="17" t="s">
        <v>252</v>
      </c>
      <c r="Q121" s="17" t="s">
        <v>273</v>
      </c>
      <c r="R121" s="17" t="s">
        <v>880</v>
      </c>
      <c r="S121" s="17" t="s">
        <v>248</v>
      </c>
      <c r="T121" s="17" t="s">
        <v>925</v>
      </c>
      <c r="U121" s="17" t="s">
        <v>926</v>
      </c>
      <c r="V121" s="17" t="s">
        <v>1618</v>
      </c>
      <c r="W121" s="17" t="s">
        <v>260</v>
      </c>
      <c r="X121" s="17" t="s">
        <v>1517</v>
      </c>
      <c r="Y121" s="17" t="s">
        <v>261</v>
      </c>
      <c r="Z121" s="17" t="s">
        <v>151</v>
      </c>
      <c r="AA121" s="17" t="s">
        <v>162</v>
      </c>
      <c r="AB121" s="17" t="s">
        <v>1623</v>
      </c>
      <c r="AC121" s="19" t="s">
        <v>38</v>
      </c>
      <c r="AD121" s="20" t="s">
        <v>350</v>
      </c>
      <c r="AE121" s="21" t="s">
        <v>174</v>
      </c>
      <c r="AF121" s="23" t="s">
        <v>272</v>
      </c>
    </row>
    <row r="122" ht="43.5" customHeight="1">
      <c r="A122" s="17" t="s">
        <v>1625</v>
      </c>
      <c r="B122" s="17">
        <v>118.0</v>
      </c>
      <c r="C122" s="17" t="s">
        <v>1505</v>
      </c>
      <c r="D122" s="17">
        <v>8.0</v>
      </c>
      <c r="E122" s="17" t="s">
        <v>1506</v>
      </c>
      <c r="F122" s="17" t="s">
        <v>101</v>
      </c>
      <c r="G122" s="17">
        <v>9.0</v>
      </c>
      <c r="H122" s="17" t="s">
        <v>123</v>
      </c>
      <c r="I122" s="17" t="s">
        <v>1628</v>
      </c>
      <c r="J122" s="17" t="s">
        <v>1630</v>
      </c>
      <c r="K122" s="17" t="s">
        <v>1564</v>
      </c>
      <c r="L122" s="17" t="s">
        <v>1564</v>
      </c>
      <c r="M122" s="17" t="s">
        <v>1552</v>
      </c>
      <c r="N122" s="17"/>
      <c r="O122" s="17" t="s">
        <v>249</v>
      </c>
      <c r="P122" s="17" t="s">
        <v>1511</v>
      </c>
      <c r="Q122" s="17" t="s">
        <v>1512</v>
      </c>
      <c r="R122" s="17" t="s">
        <v>880</v>
      </c>
      <c r="S122" s="17" t="s">
        <v>29</v>
      </c>
      <c r="T122" s="17" t="s">
        <v>1567</v>
      </c>
      <c r="U122" s="17" t="s">
        <v>1634</v>
      </c>
      <c r="V122" s="17" t="s">
        <v>1569</v>
      </c>
      <c r="W122" s="17" t="s">
        <v>209</v>
      </c>
      <c r="X122" s="17" t="s">
        <v>1517</v>
      </c>
      <c r="Y122" s="17" t="s">
        <v>149</v>
      </c>
      <c r="Z122" s="17" t="s">
        <v>151</v>
      </c>
      <c r="AA122" s="17" t="s">
        <v>162</v>
      </c>
      <c r="AB122" s="17" t="s">
        <v>341</v>
      </c>
      <c r="AC122" s="19" t="s">
        <v>38</v>
      </c>
      <c r="AD122" s="20" t="s">
        <v>350</v>
      </c>
      <c r="AE122" s="21" t="s">
        <v>174</v>
      </c>
      <c r="AF122" s="24" t="s">
        <v>315</v>
      </c>
    </row>
    <row r="123" ht="43.5" customHeight="1">
      <c r="A123" s="17" t="s">
        <v>1636</v>
      </c>
      <c r="B123" s="17">
        <v>119.0</v>
      </c>
      <c r="C123" s="17" t="s">
        <v>1505</v>
      </c>
      <c r="D123" s="17">
        <v>8.0</v>
      </c>
      <c r="E123" s="17" t="s">
        <v>1506</v>
      </c>
      <c r="F123" s="17" t="s">
        <v>101</v>
      </c>
      <c r="G123" s="17">
        <v>10.0</v>
      </c>
      <c r="H123" s="17" t="s">
        <v>123</v>
      </c>
      <c r="I123" s="17" t="s">
        <v>1639</v>
      </c>
      <c r="J123" s="17" t="s">
        <v>1641</v>
      </c>
      <c r="K123" s="17" t="s">
        <v>1576</v>
      </c>
      <c r="L123" s="17" t="s">
        <v>1576</v>
      </c>
      <c r="M123" s="17" t="s">
        <v>1564</v>
      </c>
      <c r="N123" s="17"/>
      <c r="O123" s="17" t="s">
        <v>249</v>
      </c>
      <c r="P123" s="17" t="s">
        <v>1511</v>
      </c>
      <c r="Q123" s="17" t="s">
        <v>1512</v>
      </c>
      <c r="R123" s="17" t="s">
        <v>880</v>
      </c>
      <c r="S123" s="17" t="s">
        <v>29</v>
      </c>
      <c r="T123" s="17" t="s">
        <v>1578</v>
      </c>
      <c r="U123" s="17" t="s">
        <v>1642</v>
      </c>
      <c r="V123" s="17" t="s">
        <v>1580</v>
      </c>
      <c r="W123" s="17" t="s">
        <v>417</v>
      </c>
      <c r="X123" s="17" t="s">
        <v>1517</v>
      </c>
      <c r="Y123" s="17" t="s">
        <v>149</v>
      </c>
      <c r="Z123" s="17" t="s">
        <v>151</v>
      </c>
      <c r="AA123" s="17" t="s">
        <v>162</v>
      </c>
      <c r="AB123" s="17" t="s">
        <v>341</v>
      </c>
      <c r="AC123" s="19" t="s">
        <v>38</v>
      </c>
      <c r="AD123" s="20" t="s">
        <v>350</v>
      </c>
      <c r="AE123" s="21" t="s">
        <v>174</v>
      </c>
      <c r="AF123" s="24" t="s">
        <v>315</v>
      </c>
    </row>
    <row r="124" ht="43.5" customHeight="1">
      <c r="A124" s="17" t="s">
        <v>1646</v>
      </c>
      <c r="B124" s="17">
        <v>120.0</v>
      </c>
      <c r="C124" s="17" t="s">
        <v>1505</v>
      </c>
      <c r="D124" s="17">
        <v>8.0</v>
      </c>
      <c r="E124" s="17" t="s">
        <v>1506</v>
      </c>
      <c r="F124" s="17" t="s">
        <v>101</v>
      </c>
      <c r="G124" s="17">
        <v>11.0</v>
      </c>
      <c r="H124" s="17" t="s">
        <v>123</v>
      </c>
      <c r="I124" s="17" t="s">
        <v>1648</v>
      </c>
      <c r="J124" s="17" t="s">
        <v>1649</v>
      </c>
      <c r="K124" s="17" t="s">
        <v>1509</v>
      </c>
      <c r="L124" s="17" t="s">
        <v>1509</v>
      </c>
      <c r="M124" s="17" t="s">
        <v>1576</v>
      </c>
      <c r="N124" s="17"/>
      <c r="O124" s="17" t="s">
        <v>249</v>
      </c>
      <c r="P124" s="17" t="s">
        <v>1511</v>
      </c>
      <c r="Q124" s="17" t="s">
        <v>1512</v>
      </c>
      <c r="R124" s="17" t="s">
        <v>880</v>
      </c>
      <c r="S124" s="17" t="s">
        <v>29</v>
      </c>
      <c r="T124" s="17" t="s">
        <v>1513</v>
      </c>
      <c r="U124" s="17" t="s">
        <v>1650</v>
      </c>
      <c r="V124" s="17" t="s">
        <v>1515</v>
      </c>
      <c r="W124" s="17" t="s">
        <v>452</v>
      </c>
      <c r="X124" s="17" t="s">
        <v>1517</v>
      </c>
      <c r="Y124" s="17" t="s">
        <v>149</v>
      </c>
      <c r="Z124" s="17" t="s">
        <v>151</v>
      </c>
      <c r="AA124" s="17" t="s">
        <v>162</v>
      </c>
      <c r="AB124" s="17" t="s">
        <v>341</v>
      </c>
      <c r="AC124" s="19" t="s">
        <v>38</v>
      </c>
      <c r="AD124" s="20" t="s">
        <v>350</v>
      </c>
      <c r="AE124" s="21" t="s">
        <v>174</v>
      </c>
      <c r="AF124" s="22" t="s">
        <v>182</v>
      </c>
    </row>
    <row r="125" ht="43.5" customHeight="1">
      <c r="A125" s="17" t="s">
        <v>1652</v>
      </c>
      <c r="B125" s="17">
        <v>121.0</v>
      </c>
      <c r="C125" s="17" t="s">
        <v>1505</v>
      </c>
      <c r="D125" s="17">
        <v>8.0</v>
      </c>
      <c r="E125" s="17" t="s">
        <v>1506</v>
      </c>
      <c r="F125" s="17" t="s">
        <v>101</v>
      </c>
      <c r="G125" s="17">
        <v>15.0</v>
      </c>
      <c r="H125" s="17" t="s">
        <v>564</v>
      </c>
      <c r="I125" s="17" t="s">
        <v>1654</v>
      </c>
      <c r="J125" s="17" t="s">
        <v>566</v>
      </c>
      <c r="K125" s="17" t="s">
        <v>567</v>
      </c>
      <c r="L125" s="17" t="s">
        <v>568</v>
      </c>
      <c r="M125" s="17" t="s">
        <v>569</v>
      </c>
      <c r="N125" s="17" t="s">
        <v>571</v>
      </c>
      <c r="O125" s="17" t="s">
        <v>130</v>
      </c>
      <c r="P125" s="17" t="s">
        <v>133</v>
      </c>
      <c r="Q125" s="17" t="s">
        <v>573</v>
      </c>
      <c r="R125" s="17" t="s">
        <v>379</v>
      </c>
      <c r="S125" s="17" t="s">
        <v>82</v>
      </c>
      <c r="T125" s="17" t="s">
        <v>574</v>
      </c>
      <c r="U125" s="17" t="s">
        <v>575</v>
      </c>
      <c r="V125" s="17" t="s">
        <v>577</v>
      </c>
      <c r="W125" s="17" t="s">
        <v>578</v>
      </c>
      <c r="X125" s="17" t="s">
        <v>1517</v>
      </c>
      <c r="Y125" s="17" t="s">
        <v>581</v>
      </c>
      <c r="Z125" s="17" t="s">
        <v>151</v>
      </c>
      <c r="AA125" s="17" t="s">
        <v>162</v>
      </c>
      <c r="AB125" s="17" t="s">
        <v>582</v>
      </c>
      <c r="AC125" s="19" t="s">
        <v>38</v>
      </c>
      <c r="AD125" s="20" t="s">
        <v>350</v>
      </c>
      <c r="AE125" s="21" t="s">
        <v>174</v>
      </c>
      <c r="AF125" s="22" t="s">
        <v>182</v>
      </c>
    </row>
    <row r="126" ht="43.5" customHeight="1">
      <c r="A126" s="17" t="s">
        <v>1656</v>
      </c>
      <c r="B126" s="17">
        <v>122.0</v>
      </c>
      <c r="C126" s="17" t="s">
        <v>1505</v>
      </c>
      <c r="D126" s="17">
        <v>8.0</v>
      </c>
      <c r="E126" s="17" t="s">
        <v>1506</v>
      </c>
      <c r="F126" s="17" t="s">
        <v>101</v>
      </c>
      <c r="G126" s="17">
        <v>16.0</v>
      </c>
      <c r="H126" s="17" t="s">
        <v>586</v>
      </c>
      <c r="I126" s="17" t="s">
        <v>1660</v>
      </c>
      <c r="J126" s="17" t="s">
        <v>1661</v>
      </c>
      <c r="K126" s="17" t="s">
        <v>1662</v>
      </c>
      <c r="L126" s="17" t="s">
        <v>1576</v>
      </c>
      <c r="M126" s="17" t="s">
        <v>591</v>
      </c>
      <c r="N126" s="17"/>
      <c r="O126" s="17" t="s">
        <v>592</v>
      </c>
      <c r="P126" s="17" t="s">
        <v>878</v>
      </c>
      <c r="Q126" s="17" t="s">
        <v>1512</v>
      </c>
      <c r="R126" s="17" t="s">
        <v>880</v>
      </c>
      <c r="S126" s="17" t="s">
        <v>29</v>
      </c>
      <c r="T126" s="17" t="s">
        <v>595</v>
      </c>
      <c r="U126" s="17" t="s">
        <v>1650</v>
      </c>
      <c r="V126" s="17" t="s">
        <v>1666</v>
      </c>
      <c r="W126" s="17" t="s">
        <v>597</v>
      </c>
      <c r="X126" s="17" t="s">
        <v>1517</v>
      </c>
      <c r="Y126" s="17" t="s">
        <v>149</v>
      </c>
      <c r="Z126" s="17" t="s">
        <v>151</v>
      </c>
      <c r="AA126" s="17" t="s">
        <v>162</v>
      </c>
      <c r="AB126" s="17" t="s">
        <v>598</v>
      </c>
      <c r="AC126" s="19" t="s">
        <v>38</v>
      </c>
      <c r="AD126" s="20" t="s">
        <v>350</v>
      </c>
      <c r="AE126" s="21" t="s">
        <v>174</v>
      </c>
      <c r="AF126" s="23" t="s">
        <v>272</v>
      </c>
    </row>
    <row r="127" ht="43.5" customHeight="1">
      <c r="A127" s="17" t="s">
        <v>1668</v>
      </c>
      <c r="B127" s="17">
        <v>123.0</v>
      </c>
      <c r="C127" s="17" t="s">
        <v>1669</v>
      </c>
      <c r="D127" s="17">
        <v>9.0</v>
      </c>
      <c r="E127" s="17" t="s">
        <v>1671</v>
      </c>
      <c r="F127" s="17" t="s">
        <v>344</v>
      </c>
      <c r="G127" s="17">
        <v>1.0</v>
      </c>
      <c r="H127" s="17" t="s">
        <v>123</v>
      </c>
      <c r="I127" s="17" t="s">
        <v>1674</v>
      </c>
      <c r="J127" s="17" t="s">
        <v>1675</v>
      </c>
      <c r="K127" s="17" t="s">
        <v>1676</v>
      </c>
      <c r="L127" s="17" t="s">
        <v>1676</v>
      </c>
      <c r="M127" s="17" t="s">
        <v>128</v>
      </c>
      <c r="N127" s="17"/>
      <c r="O127" s="17" t="s">
        <v>249</v>
      </c>
      <c r="P127" s="17" t="s">
        <v>482</v>
      </c>
      <c r="Q127" s="17" t="s">
        <v>1677</v>
      </c>
      <c r="R127" s="17" t="s">
        <v>1440</v>
      </c>
      <c r="S127" s="17" t="s">
        <v>82</v>
      </c>
      <c r="T127" s="17" t="s">
        <v>1679</v>
      </c>
      <c r="U127" s="17" t="s">
        <v>1681</v>
      </c>
      <c r="V127" s="17" t="s">
        <v>1682</v>
      </c>
      <c r="W127" s="17" t="s">
        <v>145</v>
      </c>
      <c r="X127" s="17" t="s">
        <v>1684</v>
      </c>
      <c r="Y127" s="17" t="s">
        <v>704</v>
      </c>
      <c r="Z127" s="17" t="s">
        <v>151</v>
      </c>
      <c r="AA127" s="17" t="s">
        <v>162</v>
      </c>
      <c r="AB127" s="17" t="s">
        <v>341</v>
      </c>
      <c r="AC127" s="19" t="s">
        <v>38</v>
      </c>
      <c r="AD127" s="20" t="s">
        <v>350</v>
      </c>
      <c r="AE127" s="21" t="s">
        <v>174</v>
      </c>
      <c r="AF127" s="22" t="s">
        <v>182</v>
      </c>
    </row>
    <row r="128" ht="43.5" customHeight="1">
      <c r="A128" s="17" t="s">
        <v>1685</v>
      </c>
      <c r="B128" s="17">
        <v>124.0</v>
      </c>
      <c r="C128" s="17" t="s">
        <v>1669</v>
      </c>
      <c r="D128" s="17">
        <v>9.0</v>
      </c>
      <c r="E128" s="17" t="s">
        <v>1671</v>
      </c>
      <c r="F128" s="17" t="s">
        <v>344</v>
      </c>
      <c r="G128" s="17">
        <v>2.0</v>
      </c>
      <c r="H128" s="17" t="s">
        <v>123</v>
      </c>
      <c r="I128" s="17" t="s">
        <v>1687</v>
      </c>
      <c r="J128" s="17" t="s">
        <v>1688</v>
      </c>
      <c r="K128" s="17" t="s">
        <v>1689</v>
      </c>
      <c r="L128" s="17" t="s">
        <v>1689</v>
      </c>
      <c r="M128" s="17" t="s">
        <v>1676</v>
      </c>
      <c r="N128" s="17"/>
      <c r="O128" s="17" t="s">
        <v>249</v>
      </c>
      <c r="P128" s="17" t="s">
        <v>482</v>
      </c>
      <c r="Q128" s="17" t="s">
        <v>1677</v>
      </c>
      <c r="R128" s="17" t="s">
        <v>1440</v>
      </c>
      <c r="S128" s="17" t="s">
        <v>82</v>
      </c>
      <c r="T128" s="17" t="s">
        <v>1693</v>
      </c>
      <c r="U128" s="17" t="s">
        <v>1694</v>
      </c>
      <c r="V128" s="17" t="s">
        <v>1695</v>
      </c>
      <c r="W128" s="17" t="s">
        <v>209</v>
      </c>
      <c r="X128" s="17" t="s">
        <v>1684</v>
      </c>
      <c r="Y128" s="17" t="s">
        <v>704</v>
      </c>
      <c r="Z128" s="17" t="s">
        <v>151</v>
      </c>
      <c r="AA128" s="17" t="s">
        <v>162</v>
      </c>
      <c r="AB128" s="17" t="s">
        <v>341</v>
      </c>
      <c r="AC128" s="19" t="s">
        <v>38</v>
      </c>
      <c r="AD128" s="20" t="s">
        <v>350</v>
      </c>
      <c r="AE128" s="21" t="s">
        <v>174</v>
      </c>
      <c r="AF128" s="22" t="s">
        <v>182</v>
      </c>
    </row>
    <row r="129" ht="43.5" customHeight="1">
      <c r="A129" s="17" t="s">
        <v>1699</v>
      </c>
      <c r="B129" s="17">
        <v>125.0</v>
      </c>
      <c r="C129" s="17" t="s">
        <v>1669</v>
      </c>
      <c r="D129" s="17">
        <v>9.0</v>
      </c>
      <c r="E129" s="17" t="s">
        <v>1671</v>
      </c>
      <c r="F129" s="17" t="s">
        <v>344</v>
      </c>
      <c r="G129" s="17">
        <v>3.0</v>
      </c>
      <c r="H129" s="17" t="s">
        <v>240</v>
      </c>
      <c r="I129" s="17" t="s">
        <v>1700</v>
      </c>
      <c r="J129" s="17" t="s">
        <v>346</v>
      </c>
      <c r="K129" s="17" t="s">
        <v>347</v>
      </c>
      <c r="L129" s="17" t="s">
        <v>347</v>
      </c>
      <c r="M129" s="17" t="s">
        <v>1702</v>
      </c>
      <c r="N129" s="17" t="s">
        <v>343</v>
      </c>
      <c r="O129" s="17" t="s">
        <v>249</v>
      </c>
      <c r="P129" s="17" t="s">
        <v>252</v>
      </c>
      <c r="Q129" s="17" t="s">
        <v>348</v>
      </c>
      <c r="R129" s="17" t="s">
        <v>1440</v>
      </c>
      <c r="S129" s="17" t="s">
        <v>82</v>
      </c>
      <c r="T129" s="17" t="s">
        <v>1703</v>
      </c>
      <c r="U129" s="17" t="s">
        <v>1704</v>
      </c>
      <c r="V129" s="17" t="s">
        <v>1705</v>
      </c>
      <c r="W129" s="17" t="s">
        <v>260</v>
      </c>
      <c r="X129" s="17" t="s">
        <v>1684</v>
      </c>
      <c r="Y129" s="17" t="s">
        <v>261</v>
      </c>
      <c r="Z129" s="17" t="s">
        <v>151</v>
      </c>
      <c r="AA129" s="17" t="s">
        <v>162</v>
      </c>
      <c r="AB129" s="17" t="s">
        <v>1708</v>
      </c>
      <c r="AC129" s="19" t="s">
        <v>38</v>
      </c>
      <c r="AD129" s="20" t="s">
        <v>350</v>
      </c>
      <c r="AE129" s="21" t="s">
        <v>174</v>
      </c>
      <c r="AF129" s="23" t="s">
        <v>272</v>
      </c>
    </row>
    <row r="130" ht="43.5" customHeight="1">
      <c r="A130" s="17" t="s">
        <v>1710</v>
      </c>
      <c r="B130" s="17">
        <v>126.0</v>
      </c>
      <c r="C130" s="17" t="s">
        <v>1669</v>
      </c>
      <c r="D130" s="17">
        <v>9.0</v>
      </c>
      <c r="E130" s="17" t="s">
        <v>1671</v>
      </c>
      <c r="F130" s="17" t="s">
        <v>344</v>
      </c>
      <c r="G130" s="17">
        <v>3.0</v>
      </c>
      <c r="H130" s="17" t="s">
        <v>123</v>
      </c>
      <c r="I130" s="17" t="s">
        <v>1711</v>
      </c>
      <c r="J130" s="17" t="s">
        <v>1712</v>
      </c>
      <c r="K130" s="17" t="s">
        <v>1713</v>
      </c>
      <c r="L130" s="17" t="s">
        <v>1713</v>
      </c>
      <c r="M130" s="17" t="s">
        <v>1689</v>
      </c>
      <c r="N130" s="17"/>
      <c r="O130" s="17" t="s">
        <v>249</v>
      </c>
      <c r="P130" s="17" t="s">
        <v>482</v>
      </c>
      <c r="Q130" s="17" t="s">
        <v>1677</v>
      </c>
      <c r="R130" s="17" t="s">
        <v>1440</v>
      </c>
      <c r="S130" s="17" t="s">
        <v>82</v>
      </c>
      <c r="T130" s="17" t="s">
        <v>1715</v>
      </c>
      <c r="U130" s="17" t="s">
        <v>1716</v>
      </c>
      <c r="V130" s="17" t="s">
        <v>1717</v>
      </c>
      <c r="W130" s="17" t="s">
        <v>209</v>
      </c>
      <c r="X130" s="17" t="s">
        <v>1684</v>
      </c>
      <c r="Y130" s="17" t="s">
        <v>704</v>
      </c>
      <c r="Z130" s="17" t="s">
        <v>151</v>
      </c>
      <c r="AA130" s="17" t="s">
        <v>162</v>
      </c>
      <c r="AB130" s="17" t="s">
        <v>341</v>
      </c>
      <c r="AC130" s="19" t="s">
        <v>38</v>
      </c>
      <c r="AD130" s="20" t="s">
        <v>350</v>
      </c>
      <c r="AE130" s="21" t="s">
        <v>174</v>
      </c>
      <c r="AF130" s="22" t="s">
        <v>182</v>
      </c>
    </row>
    <row r="131" ht="43.5" customHeight="1">
      <c r="A131" s="17" t="s">
        <v>1720</v>
      </c>
      <c r="B131" s="17">
        <v>127.0</v>
      </c>
      <c r="C131" s="17" t="s">
        <v>1669</v>
      </c>
      <c r="D131" s="17">
        <v>9.0</v>
      </c>
      <c r="E131" s="17" t="s">
        <v>1671</v>
      </c>
      <c r="F131" s="17" t="s">
        <v>344</v>
      </c>
      <c r="G131" s="17">
        <v>4.0</v>
      </c>
      <c r="H131" s="17" t="s">
        <v>123</v>
      </c>
      <c r="I131" s="17" t="s">
        <v>1722</v>
      </c>
      <c r="J131" s="17" t="s">
        <v>1723</v>
      </c>
      <c r="K131" s="17" t="s">
        <v>1724</v>
      </c>
      <c r="L131" s="17" t="s">
        <v>1724</v>
      </c>
      <c r="M131" s="17" t="s">
        <v>1713</v>
      </c>
      <c r="N131" s="17"/>
      <c r="O131" s="17" t="s">
        <v>249</v>
      </c>
      <c r="P131" s="17" t="s">
        <v>482</v>
      </c>
      <c r="Q131" s="17" t="s">
        <v>1677</v>
      </c>
      <c r="R131" s="17" t="s">
        <v>1440</v>
      </c>
      <c r="S131" s="17" t="s">
        <v>82</v>
      </c>
      <c r="T131" s="17" t="s">
        <v>1725</v>
      </c>
      <c r="U131" s="17" t="s">
        <v>1726</v>
      </c>
      <c r="V131" s="17" t="s">
        <v>1727</v>
      </c>
      <c r="W131" s="17" t="s">
        <v>209</v>
      </c>
      <c r="X131" s="17" t="s">
        <v>1684</v>
      </c>
      <c r="Y131" s="17" t="s">
        <v>704</v>
      </c>
      <c r="Z131" s="17" t="s">
        <v>151</v>
      </c>
      <c r="AA131" s="17" t="s">
        <v>162</v>
      </c>
      <c r="AB131" s="17" t="s">
        <v>341</v>
      </c>
      <c r="AC131" s="19" t="s">
        <v>38</v>
      </c>
      <c r="AD131" s="20" t="s">
        <v>350</v>
      </c>
      <c r="AE131" s="21" t="s">
        <v>174</v>
      </c>
      <c r="AF131" s="22" t="s">
        <v>182</v>
      </c>
    </row>
    <row r="132" ht="43.5" customHeight="1">
      <c r="A132" s="17" t="s">
        <v>1729</v>
      </c>
      <c r="B132" s="17">
        <v>128.0</v>
      </c>
      <c r="C132" s="17" t="s">
        <v>1669</v>
      </c>
      <c r="D132" s="17">
        <v>9.0</v>
      </c>
      <c r="E132" s="17" t="s">
        <v>1671</v>
      </c>
      <c r="F132" s="17" t="s">
        <v>344</v>
      </c>
      <c r="G132" s="17">
        <v>5.0</v>
      </c>
      <c r="H132" s="17" t="s">
        <v>123</v>
      </c>
      <c r="I132" s="17" t="s">
        <v>1732</v>
      </c>
      <c r="J132" s="17" t="s">
        <v>1733</v>
      </c>
      <c r="K132" s="17" t="s">
        <v>1734</v>
      </c>
      <c r="L132" s="17" t="s">
        <v>1734</v>
      </c>
      <c r="M132" s="17" t="s">
        <v>1724</v>
      </c>
      <c r="N132" s="17"/>
      <c r="O132" s="17" t="s">
        <v>249</v>
      </c>
      <c r="P132" s="17" t="s">
        <v>482</v>
      </c>
      <c r="Q132" s="17" t="s">
        <v>1677</v>
      </c>
      <c r="R132" s="17" t="s">
        <v>1440</v>
      </c>
      <c r="S132" s="17" t="s">
        <v>82</v>
      </c>
      <c r="T132" s="17" t="s">
        <v>1736</v>
      </c>
      <c r="U132" s="17" t="s">
        <v>1737</v>
      </c>
      <c r="V132" s="17" t="s">
        <v>1738</v>
      </c>
      <c r="W132" s="17" t="s">
        <v>145</v>
      </c>
      <c r="X132" s="17" t="s">
        <v>1684</v>
      </c>
      <c r="Y132" s="17" t="s">
        <v>704</v>
      </c>
      <c r="Z132" s="17" t="s">
        <v>151</v>
      </c>
      <c r="AA132" s="17" t="s">
        <v>162</v>
      </c>
      <c r="AB132" s="17" t="s">
        <v>341</v>
      </c>
      <c r="AC132" s="19" t="s">
        <v>38</v>
      </c>
      <c r="AD132" s="20" t="s">
        <v>350</v>
      </c>
      <c r="AE132" s="21" t="s">
        <v>174</v>
      </c>
      <c r="AF132" s="22" t="s">
        <v>182</v>
      </c>
    </row>
    <row r="133" ht="43.5" customHeight="1">
      <c r="A133" s="17" t="s">
        <v>1740</v>
      </c>
      <c r="B133" s="17">
        <v>129.0</v>
      </c>
      <c r="C133" s="17" t="s">
        <v>1669</v>
      </c>
      <c r="D133" s="17">
        <v>9.0</v>
      </c>
      <c r="E133" s="17" t="s">
        <v>1671</v>
      </c>
      <c r="F133" s="17" t="s">
        <v>344</v>
      </c>
      <c r="G133" s="17">
        <v>7.0</v>
      </c>
      <c r="H133" s="17" t="s">
        <v>240</v>
      </c>
      <c r="I133" s="17" t="s">
        <v>1476</v>
      </c>
      <c r="J133" s="17" t="s">
        <v>355</v>
      </c>
      <c r="K133" s="17" t="s">
        <v>356</v>
      </c>
      <c r="L133" s="17" t="s">
        <v>356</v>
      </c>
      <c r="M133" s="17" t="s">
        <v>1477</v>
      </c>
      <c r="N133" s="17" t="s">
        <v>351</v>
      </c>
      <c r="O133" s="17" t="s">
        <v>249</v>
      </c>
      <c r="P133" s="17" t="s">
        <v>252</v>
      </c>
      <c r="Q133" s="17" t="s">
        <v>357</v>
      </c>
      <c r="R133" s="17" t="s">
        <v>1440</v>
      </c>
      <c r="S133" s="17" t="s">
        <v>82</v>
      </c>
      <c r="T133" s="17" t="s">
        <v>1479</v>
      </c>
      <c r="U133" s="17" t="s">
        <v>1480</v>
      </c>
      <c r="V133" s="17" t="s">
        <v>1743</v>
      </c>
      <c r="W133" s="17" t="s">
        <v>260</v>
      </c>
      <c r="X133" s="17" t="s">
        <v>1684</v>
      </c>
      <c r="Y133" s="17" t="s">
        <v>261</v>
      </c>
      <c r="Z133" s="17" t="s">
        <v>151</v>
      </c>
      <c r="AA133" s="17" t="s">
        <v>162</v>
      </c>
      <c r="AB133" s="17" t="s">
        <v>1745</v>
      </c>
      <c r="AC133" s="19" t="s">
        <v>38</v>
      </c>
      <c r="AD133" s="20" t="s">
        <v>350</v>
      </c>
      <c r="AE133" s="21" t="s">
        <v>174</v>
      </c>
      <c r="AF133" s="23" t="s">
        <v>272</v>
      </c>
    </row>
    <row r="134" ht="43.5" customHeight="1">
      <c r="A134" s="17" t="s">
        <v>1747</v>
      </c>
      <c r="B134" s="17">
        <v>130.0</v>
      </c>
      <c r="C134" s="17" t="s">
        <v>1669</v>
      </c>
      <c r="D134" s="17">
        <v>9.0</v>
      </c>
      <c r="E134" s="17" t="s">
        <v>1671</v>
      </c>
      <c r="F134" s="17" t="s">
        <v>344</v>
      </c>
      <c r="G134" s="17">
        <v>6.0</v>
      </c>
      <c r="H134" s="17" t="s">
        <v>123</v>
      </c>
      <c r="I134" s="17" t="s">
        <v>1750</v>
      </c>
      <c r="J134" s="17" t="s">
        <v>1751</v>
      </c>
      <c r="K134" s="17" t="s">
        <v>1752</v>
      </c>
      <c r="L134" s="17" t="s">
        <v>1752</v>
      </c>
      <c r="M134" s="17" t="s">
        <v>1734</v>
      </c>
      <c r="N134" s="17"/>
      <c r="O134" s="17" t="s">
        <v>249</v>
      </c>
      <c r="P134" s="17" t="s">
        <v>482</v>
      </c>
      <c r="Q134" s="17" t="s">
        <v>1677</v>
      </c>
      <c r="R134" s="17" t="s">
        <v>1440</v>
      </c>
      <c r="S134" s="17" t="s">
        <v>82</v>
      </c>
      <c r="T134" s="17" t="s">
        <v>1754</v>
      </c>
      <c r="U134" s="17" t="s">
        <v>1755</v>
      </c>
      <c r="V134" s="17" t="s">
        <v>1756</v>
      </c>
      <c r="W134" s="17" t="s">
        <v>209</v>
      </c>
      <c r="X134" s="17" t="s">
        <v>1684</v>
      </c>
      <c r="Y134" s="17" t="s">
        <v>704</v>
      </c>
      <c r="Z134" s="17" t="s">
        <v>151</v>
      </c>
      <c r="AA134" s="17" t="s">
        <v>162</v>
      </c>
      <c r="AB134" s="17" t="s">
        <v>341</v>
      </c>
      <c r="AC134" s="19" t="s">
        <v>38</v>
      </c>
      <c r="AD134" s="20" t="s">
        <v>350</v>
      </c>
      <c r="AE134" s="21" t="s">
        <v>174</v>
      </c>
      <c r="AF134" s="24" t="s">
        <v>315</v>
      </c>
    </row>
    <row r="135" ht="43.5" customHeight="1">
      <c r="A135" s="17" t="s">
        <v>1759</v>
      </c>
      <c r="B135" s="17">
        <v>131.0</v>
      </c>
      <c r="C135" s="17" t="s">
        <v>1669</v>
      </c>
      <c r="D135" s="17">
        <v>9.0</v>
      </c>
      <c r="E135" s="17" t="s">
        <v>1671</v>
      </c>
      <c r="F135" s="17" t="s">
        <v>344</v>
      </c>
      <c r="G135" s="17">
        <v>7.0</v>
      </c>
      <c r="H135" s="17" t="s">
        <v>123</v>
      </c>
      <c r="I135" s="17" t="s">
        <v>1761</v>
      </c>
      <c r="J135" s="17" t="s">
        <v>1762</v>
      </c>
      <c r="K135" s="17" t="s">
        <v>1676</v>
      </c>
      <c r="L135" s="17" t="s">
        <v>1676</v>
      </c>
      <c r="M135" s="17" t="s">
        <v>1752</v>
      </c>
      <c r="N135" s="17"/>
      <c r="O135" s="17" t="s">
        <v>249</v>
      </c>
      <c r="P135" s="17" t="s">
        <v>482</v>
      </c>
      <c r="Q135" s="17" t="s">
        <v>1677</v>
      </c>
      <c r="R135" s="17" t="s">
        <v>1440</v>
      </c>
      <c r="S135" s="17" t="s">
        <v>82</v>
      </c>
      <c r="T135" s="17" t="s">
        <v>1679</v>
      </c>
      <c r="U135" s="17" t="s">
        <v>1763</v>
      </c>
      <c r="V135" s="17" t="s">
        <v>1682</v>
      </c>
      <c r="W135" s="17" t="s">
        <v>209</v>
      </c>
      <c r="X135" s="17" t="s">
        <v>1684</v>
      </c>
      <c r="Y135" s="17" t="s">
        <v>704</v>
      </c>
      <c r="Z135" s="17" t="s">
        <v>151</v>
      </c>
      <c r="AA135" s="17" t="s">
        <v>162</v>
      </c>
      <c r="AB135" s="17" t="s">
        <v>341</v>
      </c>
      <c r="AC135" s="19" t="s">
        <v>38</v>
      </c>
      <c r="AD135" s="20" t="s">
        <v>350</v>
      </c>
      <c r="AE135" s="21" t="s">
        <v>174</v>
      </c>
      <c r="AF135" s="24" t="s">
        <v>315</v>
      </c>
    </row>
    <row r="136" ht="43.5" customHeight="1">
      <c r="A136" s="17" t="s">
        <v>1765</v>
      </c>
      <c r="B136" s="17">
        <v>132.0</v>
      </c>
      <c r="C136" s="17" t="s">
        <v>1669</v>
      </c>
      <c r="D136" s="17">
        <v>9.0</v>
      </c>
      <c r="E136" s="17" t="s">
        <v>1671</v>
      </c>
      <c r="F136" s="17" t="s">
        <v>344</v>
      </c>
      <c r="G136" s="17">
        <v>8.0</v>
      </c>
      <c r="H136" s="17" t="s">
        <v>123</v>
      </c>
      <c r="I136" s="17" t="s">
        <v>1767</v>
      </c>
      <c r="J136" s="17" t="s">
        <v>1769</v>
      </c>
      <c r="K136" s="17" t="s">
        <v>1689</v>
      </c>
      <c r="L136" s="17" t="s">
        <v>1689</v>
      </c>
      <c r="M136" s="17" t="s">
        <v>1676</v>
      </c>
      <c r="N136" s="17"/>
      <c r="O136" s="17" t="s">
        <v>249</v>
      </c>
      <c r="P136" s="17" t="s">
        <v>482</v>
      </c>
      <c r="Q136" s="17" t="s">
        <v>1677</v>
      </c>
      <c r="R136" s="17" t="s">
        <v>1440</v>
      </c>
      <c r="S136" s="17" t="s">
        <v>82</v>
      </c>
      <c r="T136" s="17" t="s">
        <v>1693</v>
      </c>
      <c r="U136" s="17" t="s">
        <v>1770</v>
      </c>
      <c r="V136" s="17" t="s">
        <v>1695</v>
      </c>
      <c r="W136" s="17" t="s">
        <v>209</v>
      </c>
      <c r="X136" s="17" t="s">
        <v>1684</v>
      </c>
      <c r="Y136" s="17" t="s">
        <v>704</v>
      </c>
      <c r="Z136" s="17" t="s">
        <v>151</v>
      </c>
      <c r="AA136" s="17" t="s">
        <v>162</v>
      </c>
      <c r="AB136" s="17" t="s">
        <v>341</v>
      </c>
      <c r="AC136" s="19" t="s">
        <v>38</v>
      </c>
      <c r="AD136" s="20" t="s">
        <v>350</v>
      </c>
      <c r="AE136" s="21" t="s">
        <v>174</v>
      </c>
      <c r="AF136" s="24" t="s">
        <v>315</v>
      </c>
    </row>
    <row r="137" ht="43.5" customHeight="1">
      <c r="A137" s="17" t="s">
        <v>1772</v>
      </c>
      <c r="B137" s="17">
        <v>133.0</v>
      </c>
      <c r="C137" s="17" t="s">
        <v>1669</v>
      </c>
      <c r="D137" s="17">
        <v>9.0</v>
      </c>
      <c r="E137" s="17" t="s">
        <v>1671</v>
      </c>
      <c r="F137" s="17" t="s">
        <v>344</v>
      </c>
      <c r="G137" s="17">
        <v>9.0</v>
      </c>
      <c r="H137" s="17" t="s">
        <v>123</v>
      </c>
      <c r="I137" s="17" t="s">
        <v>1774</v>
      </c>
      <c r="J137" s="17" t="s">
        <v>1775</v>
      </c>
      <c r="K137" s="17" t="s">
        <v>1713</v>
      </c>
      <c r="L137" s="17" t="s">
        <v>1713</v>
      </c>
      <c r="M137" s="17" t="s">
        <v>1689</v>
      </c>
      <c r="N137" s="17"/>
      <c r="O137" s="17" t="s">
        <v>249</v>
      </c>
      <c r="P137" s="17" t="s">
        <v>482</v>
      </c>
      <c r="Q137" s="17" t="s">
        <v>1677</v>
      </c>
      <c r="R137" s="17" t="s">
        <v>1440</v>
      </c>
      <c r="S137" s="17" t="s">
        <v>82</v>
      </c>
      <c r="T137" s="17" t="s">
        <v>1715</v>
      </c>
      <c r="U137" s="17" t="s">
        <v>1778</v>
      </c>
      <c r="V137" s="17" t="s">
        <v>1717</v>
      </c>
      <c r="W137" s="17" t="s">
        <v>209</v>
      </c>
      <c r="X137" s="17" t="s">
        <v>1684</v>
      </c>
      <c r="Y137" s="17" t="s">
        <v>704</v>
      </c>
      <c r="Z137" s="17" t="s">
        <v>151</v>
      </c>
      <c r="AA137" s="17" t="s">
        <v>162</v>
      </c>
      <c r="AB137" s="17" t="s">
        <v>341</v>
      </c>
      <c r="AC137" s="19" t="s">
        <v>38</v>
      </c>
      <c r="AD137" s="20" t="s">
        <v>350</v>
      </c>
      <c r="AE137" s="21" t="s">
        <v>174</v>
      </c>
      <c r="AF137" s="24" t="s">
        <v>315</v>
      </c>
    </row>
    <row r="138" ht="43.5" customHeight="1">
      <c r="A138" s="17" t="s">
        <v>1780</v>
      </c>
      <c r="B138" s="17">
        <v>134.0</v>
      </c>
      <c r="C138" s="17" t="s">
        <v>1669</v>
      </c>
      <c r="D138" s="17">
        <v>9.0</v>
      </c>
      <c r="E138" s="17" t="s">
        <v>1671</v>
      </c>
      <c r="F138" s="17" t="s">
        <v>344</v>
      </c>
      <c r="G138" s="17">
        <v>10.0</v>
      </c>
      <c r="H138" s="17" t="s">
        <v>123</v>
      </c>
      <c r="I138" s="17" t="s">
        <v>1781</v>
      </c>
      <c r="J138" s="17" t="s">
        <v>1782</v>
      </c>
      <c r="K138" s="17" t="s">
        <v>1724</v>
      </c>
      <c r="L138" s="17" t="s">
        <v>1724</v>
      </c>
      <c r="M138" s="17" t="s">
        <v>1713</v>
      </c>
      <c r="N138" s="17"/>
      <c r="O138" s="17" t="s">
        <v>249</v>
      </c>
      <c r="P138" s="17" t="s">
        <v>482</v>
      </c>
      <c r="Q138" s="17" t="s">
        <v>1677</v>
      </c>
      <c r="R138" s="17" t="s">
        <v>1440</v>
      </c>
      <c r="S138" s="17" t="s">
        <v>82</v>
      </c>
      <c r="T138" s="17" t="s">
        <v>1725</v>
      </c>
      <c r="U138" s="17" t="s">
        <v>1784</v>
      </c>
      <c r="V138" s="17" t="s">
        <v>1727</v>
      </c>
      <c r="W138" s="17" t="s">
        <v>417</v>
      </c>
      <c r="X138" s="17" t="s">
        <v>1684</v>
      </c>
      <c r="Y138" s="17" t="s">
        <v>704</v>
      </c>
      <c r="Z138" s="17" t="s">
        <v>151</v>
      </c>
      <c r="AA138" s="17" t="s">
        <v>162</v>
      </c>
      <c r="AB138" s="17" t="s">
        <v>341</v>
      </c>
      <c r="AC138" s="19" t="s">
        <v>38</v>
      </c>
      <c r="AD138" s="20" t="s">
        <v>350</v>
      </c>
      <c r="AE138" s="21" t="s">
        <v>174</v>
      </c>
      <c r="AF138" s="24" t="s">
        <v>315</v>
      </c>
    </row>
    <row r="139" ht="43.5" customHeight="1">
      <c r="A139" s="17" t="s">
        <v>1786</v>
      </c>
      <c r="B139" s="17">
        <v>135.0</v>
      </c>
      <c r="C139" s="17" t="s">
        <v>1669</v>
      </c>
      <c r="D139" s="17">
        <v>9.0</v>
      </c>
      <c r="E139" s="17" t="s">
        <v>1671</v>
      </c>
      <c r="F139" s="17" t="s">
        <v>344</v>
      </c>
      <c r="G139" s="17">
        <v>11.0</v>
      </c>
      <c r="H139" s="17" t="s">
        <v>123</v>
      </c>
      <c r="I139" s="17" t="s">
        <v>1787</v>
      </c>
      <c r="J139" s="17" t="s">
        <v>1788</v>
      </c>
      <c r="K139" s="17" t="s">
        <v>1734</v>
      </c>
      <c r="L139" s="17" t="s">
        <v>1734</v>
      </c>
      <c r="M139" s="17" t="s">
        <v>1724</v>
      </c>
      <c r="N139" s="17"/>
      <c r="O139" s="17" t="s">
        <v>249</v>
      </c>
      <c r="P139" s="17" t="s">
        <v>482</v>
      </c>
      <c r="Q139" s="17" t="s">
        <v>1677</v>
      </c>
      <c r="R139" s="17" t="s">
        <v>1440</v>
      </c>
      <c r="S139" s="17" t="s">
        <v>82</v>
      </c>
      <c r="T139" s="17" t="s">
        <v>1736</v>
      </c>
      <c r="U139" s="17" t="s">
        <v>1789</v>
      </c>
      <c r="V139" s="17" t="s">
        <v>1738</v>
      </c>
      <c r="W139" s="17" t="s">
        <v>452</v>
      </c>
      <c r="X139" s="17" t="s">
        <v>1684</v>
      </c>
      <c r="Y139" s="17" t="s">
        <v>704</v>
      </c>
      <c r="Z139" s="17" t="s">
        <v>151</v>
      </c>
      <c r="AA139" s="17" t="s">
        <v>162</v>
      </c>
      <c r="AB139" s="17" t="s">
        <v>341</v>
      </c>
      <c r="AC139" s="19" t="s">
        <v>38</v>
      </c>
      <c r="AD139" s="20" t="s">
        <v>350</v>
      </c>
      <c r="AE139" s="21" t="s">
        <v>174</v>
      </c>
      <c r="AF139" s="22" t="s">
        <v>182</v>
      </c>
    </row>
    <row r="140" ht="43.5" customHeight="1">
      <c r="A140" s="17" t="s">
        <v>1793</v>
      </c>
      <c r="B140" s="17">
        <v>136.0</v>
      </c>
      <c r="C140" s="17" t="s">
        <v>1669</v>
      </c>
      <c r="D140" s="17">
        <v>9.0</v>
      </c>
      <c r="E140" s="17" t="s">
        <v>1671</v>
      </c>
      <c r="F140" s="17" t="s">
        <v>344</v>
      </c>
      <c r="G140" s="17">
        <v>14.0</v>
      </c>
      <c r="H140" s="17" t="s">
        <v>564</v>
      </c>
      <c r="I140" s="17" t="s">
        <v>1797</v>
      </c>
      <c r="J140" s="17" t="s">
        <v>566</v>
      </c>
      <c r="K140" s="17" t="s">
        <v>567</v>
      </c>
      <c r="L140" s="17" t="s">
        <v>568</v>
      </c>
      <c r="M140" s="17" t="s">
        <v>569</v>
      </c>
      <c r="N140" s="17" t="s">
        <v>571</v>
      </c>
      <c r="O140" s="17" t="s">
        <v>130</v>
      </c>
      <c r="P140" s="17" t="s">
        <v>133</v>
      </c>
      <c r="Q140" s="17" t="s">
        <v>573</v>
      </c>
      <c r="R140" s="17" t="s">
        <v>379</v>
      </c>
      <c r="S140" s="17" t="s">
        <v>82</v>
      </c>
      <c r="T140" s="17" t="s">
        <v>574</v>
      </c>
      <c r="U140" s="17" t="s">
        <v>575</v>
      </c>
      <c r="V140" s="17" t="s">
        <v>577</v>
      </c>
      <c r="W140" s="17" t="s">
        <v>578</v>
      </c>
      <c r="X140" s="17" t="s">
        <v>1684</v>
      </c>
      <c r="Y140" s="17" t="s">
        <v>581</v>
      </c>
      <c r="Z140" s="17" t="s">
        <v>151</v>
      </c>
      <c r="AA140" s="17" t="s">
        <v>162</v>
      </c>
      <c r="AB140" s="17" t="s">
        <v>582</v>
      </c>
      <c r="AC140" s="19" t="s">
        <v>38</v>
      </c>
      <c r="AD140" s="20" t="s">
        <v>350</v>
      </c>
      <c r="AE140" s="21" t="s">
        <v>174</v>
      </c>
      <c r="AF140" s="22" t="s">
        <v>182</v>
      </c>
    </row>
    <row r="141" ht="43.5" customHeight="1">
      <c r="A141" s="17" t="s">
        <v>1803</v>
      </c>
      <c r="B141" s="17">
        <v>137.0</v>
      </c>
      <c r="C141" s="17" t="s">
        <v>1669</v>
      </c>
      <c r="D141" s="17">
        <v>9.0</v>
      </c>
      <c r="E141" s="17" t="s">
        <v>1671</v>
      </c>
      <c r="F141" s="17" t="s">
        <v>344</v>
      </c>
      <c r="G141" s="17">
        <v>15.0</v>
      </c>
      <c r="H141" s="17" t="s">
        <v>586</v>
      </c>
      <c r="I141" s="17" t="s">
        <v>1804</v>
      </c>
      <c r="J141" s="17" t="s">
        <v>1805</v>
      </c>
      <c r="K141" s="17" t="s">
        <v>1806</v>
      </c>
      <c r="L141" s="17" t="s">
        <v>1752</v>
      </c>
      <c r="M141" s="17" t="s">
        <v>591</v>
      </c>
      <c r="N141" s="17"/>
      <c r="O141" s="17" t="s">
        <v>592</v>
      </c>
      <c r="P141" s="17" t="s">
        <v>878</v>
      </c>
      <c r="Q141" s="17" t="s">
        <v>1677</v>
      </c>
      <c r="R141" s="17" t="s">
        <v>1440</v>
      </c>
      <c r="S141" s="17" t="s">
        <v>82</v>
      </c>
      <c r="T141" s="17" t="s">
        <v>595</v>
      </c>
      <c r="U141" s="17" t="s">
        <v>1789</v>
      </c>
      <c r="V141" s="17" t="s">
        <v>1814</v>
      </c>
      <c r="W141" s="17" t="s">
        <v>597</v>
      </c>
      <c r="X141" s="17" t="s">
        <v>1684</v>
      </c>
      <c r="Y141" s="17" t="s">
        <v>704</v>
      </c>
      <c r="Z141" s="17" t="s">
        <v>151</v>
      </c>
      <c r="AA141" s="17" t="s">
        <v>162</v>
      </c>
      <c r="AB141" s="17" t="s">
        <v>598</v>
      </c>
      <c r="AC141" s="19" t="s">
        <v>38</v>
      </c>
      <c r="AD141" s="20" t="s">
        <v>350</v>
      </c>
      <c r="AE141" s="21" t="s">
        <v>174</v>
      </c>
      <c r="AF141" s="23" t="s">
        <v>272</v>
      </c>
    </row>
    <row r="142" ht="43.5" customHeight="1">
      <c r="A142" s="17" t="s">
        <v>1816</v>
      </c>
      <c r="B142" s="17">
        <v>138.0</v>
      </c>
      <c r="C142" s="17" t="s">
        <v>1817</v>
      </c>
      <c r="D142" s="17">
        <v>10.0</v>
      </c>
      <c r="E142" s="17" t="s">
        <v>1818</v>
      </c>
      <c r="F142" s="17" t="s">
        <v>344</v>
      </c>
      <c r="G142" s="17">
        <v>1.0</v>
      </c>
      <c r="H142" s="17" t="s">
        <v>123</v>
      </c>
      <c r="I142" s="17" t="s">
        <v>1822</v>
      </c>
      <c r="J142" s="17" t="s">
        <v>1823</v>
      </c>
      <c r="K142" s="17" t="s">
        <v>1824</v>
      </c>
      <c r="L142" s="17" t="s">
        <v>1824</v>
      </c>
      <c r="M142" s="17" t="s">
        <v>128</v>
      </c>
      <c r="N142" s="17"/>
      <c r="O142" s="17" t="s">
        <v>324</v>
      </c>
      <c r="P142" s="17" t="s">
        <v>325</v>
      </c>
      <c r="Q142" s="17" t="s">
        <v>1825</v>
      </c>
      <c r="R142" s="17" t="s">
        <v>1440</v>
      </c>
      <c r="S142" s="17" t="s">
        <v>82</v>
      </c>
      <c r="T142" s="17" t="s">
        <v>1826</v>
      </c>
      <c r="U142" s="17" t="s">
        <v>1827</v>
      </c>
      <c r="V142" s="17" t="s">
        <v>1828</v>
      </c>
      <c r="W142" s="17" t="s">
        <v>145</v>
      </c>
      <c r="X142" s="17" t="s">
        <v>1831</v>
      </c>
      <c r="Y142" s="17" t="s">
        <v>1832</v>
      </c>
      <c r="Z142" s="17" t="s">
        <v>151</v>
      </c>
      <c r="AA142" s="17" t="s">
        <v>162</v>
      </c>
      <c r="AB142" s="17" t="s">
        <v>341</v>
      </c>
      <c r="AC142" s="19" t="s">
        <v>38</v>
      </c>
      <c r="AD142" s="20" t="s">
        <v>350</v>
      </c>
      <c r="AE142" s="21" t="s">
        <v>174</v>
      </c>
      <c r="AF142" s="22" t="s">
        <v>182</v>
      </c>
    </row>
    <row r="143" ht="43.5" customHeight="1">
      <c r="A143" s="17" t="s">
        <v>1834</v>
      </c>
      <c r="B143" s="17">
        <v>139.0</v>
      </c>
      <c r="C143" s="17" t="s">
        <v>1817</v>
      </c>
      <c r="D143" s="17">
        <v>10.0</v>
      </c>
      <c r="E143" s="17" t="s">
        <v>1818</v>
      </c>
      <c r="F143" s="17" t="s">
        <v>344</v>
      </c>
      <c r="G143" s="17">
        <v>2.0</v>
      </c>
      <c r="H143" s="17" t="s">
        <v>123</v>
      </c>
      <c r="I143" s="17" t="s">
        <v>1836</v>
      </c>
      <c r="J143" s="17" t="s">
        <v>1837</v>
      </c>
      <c r="K143" s="17" t="s">
        <v>1838</v>
      </c>
      <c r="L143" s="17" t="s">
        <v>1838</v>
      </c>
      <c r="M143" s="17" t="s">
        <v>1824</v>
      </c>
      <c r="N143" s="17"/>
      <c r="O143" s="17" t="s">
        <v>324</v>
      </c>
      <c r="P143" s="17" t="s">
        <v>325</v>
      </c>
      <c r="Q143" s="17" t="s">
        <v>1825</v>
      </c>
      <c r="R143" s="17" t="s">
        <v>1440</v>
      </c>
      <c r="S143" s="17" t="s">
        <v>82</v>
      </c>
      <c r="T143" s="17" t="s">
        <v>1839</v>
      </c>
      <c r="U143" s="17" t="s">
        <v>1840</v>
      </c>
      <c r="V143" s="17" t="s">
        <v>1841</v>
      </c>
      <c r="W143" s="17" t="s">
        <v>209</v>
      </c>
      <c r="X143" s="17" t="s">
        <v>1831</v>
      </c>
      <c r="Y143" s="17" t="s">
        <v>1832</v>
      </c>
      <c r="Z143" s="17" t="s">
        <v>151</v>
      </c>
      <c r="AA143" s="17" t="s">
        <v>162</v>
      </c>
      <c r="AB143" s="17" t="s">
        <v>341</v>
      </c>
      <c r="AC143" s="19" t="s">
        <v>38</v>
      </c>
      <c r="AD143" s="20" t="s">
        <v>350</v>
      </c>
      <c r="AE143" s="21" t="s">
        <v>174</v>
      </c>
      <c r="AF143" s="22" t="s">
        <v>182</v>
      </c>
    </row>
    <row r="144" ht="43.5" customHeight="1">
      <c r="A144" s="17" t="s">
        <v>1843</v>
      </c>
      <c r="B144" s="17">
        <v>140.0</v>
      </c>
      <c r="C144" s="17" t="s">
        <v>1817</v>
      </c>
      <c r="D144" s="17">
        <v>10.0</v>
      </c>
      <c r="E144" s="17" t="s">
        <v>1818</v>
      </c>
      <c r="F144" s="17" t="s">
        <v>344</v>
      </c>
      <c r="G144" s="17">
        <v>3.0</v>
      </c>
      <c r="H144" s="17" t="s">
        <v>240</v>
      </c>
      <c r="I144" s="17" t="s">
        <v>1845</v>
      </c>
      <c r="J144" s="17" t="s">
        <v>365</v>
      </c>
      <c r="K144" s="17" t="s">
        <v>366</v>
      </c>
      <c r="L144" s="17" t="s">
        <v>366</v>
      </c>
      <c r="M144" s="17" t="s">
        <v>1847</v>
      </c>
      <c r="N144" s="17" t="s">
        <v>363</v>
      </c>
      <c r="O144" s="17" t="s">
        <v>249</v>
      </c>
      <c r="P144" s="17" t="s">
        <v>252</v>
      </c>
      <c r="Q144" s="17" t="s">
        <v>367</v>
      </c>
      <c r="R144" s="17" t="s">
        <v>1440</v>
      </c>
      <c r="S144" s="17" t="s">
        <v>82</v>
      </c>
      <c r="T144" s="17" t="s">
        <v>1848</v>
      </c>
      <c r="U144" s="17" t="s">
        <v>1849</v>
      </c>
      <c r="V144" s="17" t="s">
        <v>1850</v>
      </c>
      <c r="W144" s="17" t="s">
        <v>260</v>
      </c>
      <c r="X144" s="17" t="s">
        <v>1831</v>
      </c>
      <c r="Y144" s="17" t="s">
        <v>261</v>
      </c>
      <c r="Z144" s="17" t="s">
        <v>151</v>
      </c>
      <c r="AA144" s="17" t="s">
        <v>162</v>
      </c>
      <c r="AB144" s="17" t="s">
        <v>1854</v>
      </c>
      <c r="AC144" s="19" t="s">
        <v>38</v>
      </c>
      <c r="AD144" s="20" t="s">
        <v>350</v>
      </c>
      <c r="AE144" s="21" t="s">
        <v>174</v>
      </c>
      <c r="AF144" s="23" t="s">
        <v>272</v>
      </c>
    </row>
    <row r="145" ht="43.5" customHeight="1">
      <c r="A145" s="17" t="s">
        <v>1855</v>
      </c>
      <c r="B145" s="17">
        <v>141.0</v>
      </c>
      <c r="C145" s="17" t="s">
        <v>1817</v>
      </c>
      <c r="D145" s="17">
        <v>10.0</v>
      </c>
      <c r="E145" s="17" t="s">
        <v>1818</v>
      </c>
      <c r="F145" s="17" t="s">
        <v>344</v>
      </c>
      <c r="G145" s="17">
        <v>3.0</v>
      </c>
      <c r="H145" s="17" t="s">
        <v>123</v>
      </c>
      <c r="I145" s="17" t="s">
        <v>1856</v>
      </c>
      <c r="J145" s="17" t="s">
        <v>1857</v>
      </c>
      <c r="K145" s="17" t="s">
        <v>1858</v>
      </c>
      <c r="L145" s="17" t="s">
        <v>1858</v>
      </c>
      <c r="M145" s="17" t="s">
        <v>1838</v>
      </c>
      <c r="N145" s="17"/>
      <c r="O145" s="17" t="s">
        <v>324</v>
      </c>
      <c r="P145" s="17" t="s">
        <v>325</v>
      </c>
      <c r="Q145" s="17" t="s">
        <v>1825</v>
      </c>
      <c r="R145" s="17" t="s">
        <v>1440</v>
      </c>
      <c r="S145" s="17" t="s">
        <v>82</v>
      </c>
      <c r="T145" s="17" t="s">
        <v>1859</v>
      </c>
      <c r="U145" s="17" t="s">
        <v>1860</v>
      </c>
      <c r="V145" s="17" t="s">
        <v>1861</v>
      </c>
      <c r="W145" s="17" t="s">
        <v>209</v>
      </c>
      <c r="X145" s="17" t="s">
        <v>1831</v>
      </c>
      <c r="Y145" s="17" t="s">
        <v>1832</v>
      </c>
      <c r="Z145" s="17" t="s">
        <v>151</v>
      </c>
      <c r="AA145" s="17" t="s">
        <v>162</v>
      </c>
      <c r="AB145" s="17" t="s">
        <v>341</v>
      </c>
      <c r="AC145" s="19" t="s">
        <v>38</v>
      </c>
      <c r="AD145" s="20" t="s">
        <v>350</v>
      </c>
      <c r="AE145" s="21" t="s">
        <v>174</v>
      </c>
      <c r="AF145" s="22" t="s">
        <v>182</v>
      </c>
    </row>
    <row r="146" ht="43.5" customHeight="1">
      <c r="A146" s="17" t="s">
        <v>1863</v>
      </c>
      <c r="B146" s="17">
        <v>142.0</v>
      </c>
      <c r="C146" s="17" t="s">
        <v>1817</v>
      </c>
      <c r="D146" s="17">
        <v>10.0</v>
      </c>
      <c r="E146" s="17" t="s">
        <v>1818</v>
      </c>
      <c r="F146" s="17" t="s">
        <v>344</v>
      </c>
      <c r="G146" s="17">
        <v>4.0</v>
      </c>
      <c r="H146" s="17" t="s">
        <v>123</v>
      </c>
      <c r="I146" s="17" t="s">
        <v>1866</v>
      </c>
      <c r="J146" s="17" t="s">
        <v>1867</v>
      </c>
      <c r="K146" s="17" t="s">
        <v>1868</v>
      </c>
      <c r="L146" s="17" t="s">
        <v>1868</v>
      </c>
      <c r="M146" s="17" t="s">
        <v>1858</v>
      </c>
      <c r="N146" s="17"/>
      <c r="O146" s="17" t="s">
        <v>324</v>
      </c>
      <c r="P146" s="17" t="s">
        <v>325</v>
      </c>
      <c r="Q146" s="17" t="s">
        <v>1825</v>
      </c>
      <c r="R146" s="17" t="s">
        <v>1440</v>
      </c>
      <c r="S146" s="17" t="s">
        <v>82</v>
      </c>
      <c r="T146" s="17" t="s">
        <v>1870</v>
      </c>
      <c r="U146" s="17" t="s">
        <v>1871</v>
      </c>
      <c r="V146" s="17" t="s">
        <v>1872</v>
      </c>
      <c r="W146" s="17" t="s">
        <v>209</v>
      </c>
      <c r="X146" s="17" t="s">
        <v>1831</v>
      </c>
      <c r="Y146" s="17" t="s">
        <v>1832</v>
      </c>
      <c r="Z146" s="17" t="s">
        <v>151</v>
      </c>
      <c r="AA146" s="17" t="s">
        <v>162</v>
      </c>
      <c r="AB146" s="17" t="s">
        <v>341</v>
      </c>
      <c r="AC146" s="19" t="s">
        <v>38</v>
      </c>
      <c r="AD146" s="20" t="s">
        <v>350</v>
      </c>
      <c r="AE146" s="21" t="s">
        <v>174</v>
      </c>
      <c r="AF146" s="22" t="s">
        <v>182</v>
      </c>
    </row>
    <row r="147" ht="43.5" customHeight="1">
      <c r="A147" s="17" t="s">
        <v>1876</v>
      </c>
      <c r="B147" s="17">
        <v>143.0</v>
      </c>
      <c r="C147" s="17" t="s">
        <v>1817</v>
      </c>
      <c r="D147" s="17">
        <v>10.0</v>
      </c>
      <c r="E147" s="17" t="s">
        <v>1818</v>
      </c>
      <c r="F147" s="17" t="s">
        <v>344</v>
      </c>
      <c r="G147" s="17">
        <v>5.0</v>
      </c>
      <c r="H147" s="17" t="s">
        <v>123</v>
      </c>
      <c r="I147" s="17" t="s">
        <v>1879</v>
      </c>
      <c r="J147" s="17" t="s">
        <v>1881</v>
      </c>
      <c r="K147" s="17" t="s">
        <v>1882</v>
      </c>
      <c r="L147" s="17" t="s">
        <v>1882</v>
      </c>
      <c r="M147" s="17" t="s">
        <v>1868</v>
      </c>
      <c r="N147" s="17"/>
      <c r="O147" s="17" t="s">
        <v>324</v>
      </c>
      <c r="P147" s="17" t="s">
        <v>325</v>
      </c>
      <c r="Q147" s="17" t="s">
        <v>1825</v>
      </c>
      <c r="R147" s="17" t="s">
        <v>1440</v>
      </c>
      <c r="S147" s="17" t="s">
        <v>82</v>
      </c>
      <c r="T147" s="17" t="s">
        <v>1883</v>
      </c>
      <c r="U147" s="17" t="s">
        <v>1884</v>
      </c>
      <c r="V147" s="17" t="s">
        <v>1885</v>
      </c>
      <c r="W147" s="17" t="s">
        <v>145</v>
      </c>
      <c r="X147" s="17" t="s">
        <v>1831</v>
      </c>
      <c r="Y147" s="17" t="s">
        <v>1832</v>
      </c>
      <c r="Z147" s="17" t="s">
        <v>151</v>
      </c>
      <c r="AA147" s="17" t="s">
        <v>162</v>
      </c>
      <c r="AB147" s="17" t="s">
        <v>341</v>
      </c>
      <c r="AC147" s="19" t="s">
        <v>38</v>
      </c>
      <c r="AD147" s="20" t="s">
        <v>350</v>
      </c>
      <c r="AE147" s="21" t="s">
        <v>174</v>
      </c>
      <c r="AF147" s="22" t="s">
        <v>182</v>
      </c>
    </row>
    <row r="148" ht="43.5" customHeight="1">
      <c r="A148" s="17" t="s">
        <v>1887</v>
      </c>
      <c r="B148" s="17">
        <v>144.0</v>
      </c>
      <c r="C148" s="17" t="s">
        <v>1817</v>
      </c>
      <c r="D148" s="17">
        <v>10.0</v>
      </c>
      <c r="E148" s="17" t="s">
        <v>1818</v>
      </c>
      <c r="F148" s="17" t="s">
        <v>344</v>
      </c>
      <c r="G148" s="17">
        <v>7.0</v>
      </c>
      <c r="H148" s="17" t="s">
        <v>240</v>
      </c>
      <c r="I148" s="17" t="s">
        <v>1891</v>
      </c>
      <c r="J148" s="17" t="s">
        <v>387</v>
      </c>
      <c r="K148" s="17" t="s">
        <v>388</v>
      </c>
      <c r="L148" s="17" t="s">
        <v>388</v>
      </c>
      <c r="M148" s="17" t="s">
        <v>1892</v>
      </c>
      <c r="N148" s="17" t="s">
        <v>381</v>
      </c>
      <c r="O148" s="17" t="s">
        <v>249</v>
      </c>
      <c r="P148" s="17" t="s">
        <v>252</v>
      </c>
      <c r="Q148" s="17" t="s">
        <v>390</v>
      </c>
      <c r="R148" s="17" t="s">
        <v>1440</v>
      </c>
      <c r="S148" s="17" t="s">
        <v>82</v>
      </c>
      <c r="T148" s="17" t="s">
        <v>1893</v>
      </c>
      <c r="U148" s="17" t="s">
        <v>1894</v>
      </c>
      <c r="V148" s="17" t="s">
        <v>1895</v>
      </c>
      <c r="W148" s="17" t="s">
        <v>260</v>
      </c>
      <c r="X148" s="17" t="s">
        <v>1831</v>
      </c>
      <c r="Y148" s="17" t="s">
        <v>261</v>
      </c>
      <c r="Z148" s="17" t="s">
        <v>151</v>
      </c>
      <c r="AA148" s="17" t="s">
        <v>162</v>
      </c>
      <c r="AB148" s="17" t="s">
        <v>1898</v>
      </c>
      <c r="AC148" s="19" t="s">
        <v>38</v>
      </c>
      <c r="AD148" s="20" t="s">
        <v>350</v>
      </c>
      <c r="AE148" s="21" t="s">
        <v>174</v>
      </c>
      <c r="AF148" s="23" t="s">
        <v>272</v>
      </c>
    </row>
    <row r="149" ht="43.5" customHeight="1">
      <c r="A149" s="17" t="s">
        <v>1900</v>
      </c>
      <c r="B149" s="17">
        <v>145.0</v>
      </c>
      <c r="C149" s="17" t="s">
        <v>1817</v>
      </c>
      <c r="D149" s="17">
        <v>10.0</v>
      </c>
      <c r="E149" s="17" t="s">
        <v>1818</v>
      </c>
      <c r="F149" s="17" t="s">
        <v>344</v>
      </c>
      <c r="G149" s="17">
        <v>6.0</v>
      </c>
      <c r="H149" s="17" t="s">
        <v>123</v>
      </c>
      <c r="I149" s="17" t="s">
        <v>1901</v>
      </c>
      <c r="J149" s="17" t="s">
        <v>1902</v>
      </c>
      <c r="K149" s="17" t="s">
        <v>1824</v>
      </c>
      <c r="L149" s="17" t="s">
        <v>1824</v>
      </c>
      <c r="M149" s="17" t="s">
        <v>1882</v>
      </c>
      <c r="N149" s="17"/>
      <c r="O149" s="17" t="s">
        <v>324</v>
      </c>
      <c r="P149" s="17" t="s">
        <v>325</v>
      </c>
      <c r="Q149" s="17" t="s">
        <v>1825</v>
      </c>
      <c r="R149" s="17" t="s">
        <v>1440</v>
      </c>
      <c r="S149" s="17" t="s">
        <v>82</v>
      </c>
      <c r="T149" s="17" t="s">
        <v>1826</v>
      </c>
      <c r="U149" s="17" t="s">
        <v>1904</v>
      </c>
      <c r="V149" s="17" t="s">
        <v>1828</v>
      </c>
      <c r="W149" s="17" t="s">
        <v>209</v>
      </c>
      <c r="X149" s="17" t="s">
        <v>1831</v>
      </c>
      <c r="Y149" s="17" t="s">
        <v>1832</v>
      </c>
      <c r="Z149" s="17" t="s">
        <v>151</v>
      </c>
      <c r="AA149" s="17" t="s">
        <v>162</v>
      </c>
      <c r="AB149" s="17" t="s">
        <v>341</v>
      </c>
      <c r="AC149" s="19" t="s">
        <v>38</v>
      </c>
      <c r="AD149" s="20" t="s">
        <v>350</v>
      </c>
      <c r="AE149" s="21" t="s">
        <v>174</v>
      </c>
      <c r="AF149" s="24" t="s">
        <v>315</v>
      </c>
    </row>
    <row r="150" ht="43.5" customHeight="1">
      <c r="A150" s="17" t="s">
        <v>1907</v>
      </c>
      <c r="B150" s="17">
        <v>146.0</v>
      </c>
      <c r="C150" s="17" t="s">
        <v>1817</v>
      </c>
      <c r="D150" s="17">
        <v>10.0</v>
      </c>
      <c r="E150" s="17" t="s">
        <v>1818</v>
      </c>
      <c r="F150" s="17" t="s">
        <v>344</v>
      </c>
      <c r="G150" s="17">
        <v>7.0</v>
      </c>
      <c r="H150" s="17" t="s">
        <v>123</v>
      </c>
      <c r="I150" s="17" t="s">
        <v>1909</v>
      </c>
      <c r="J150" s="17" t="s">
        <v>1910</v>
      </c>
      <c r="K150" s="17" t="s">
        <v>1838</v>
      </c>
      <c r="L150" s="17" t="s">
        <v>1838</v>
      </c>
      <c r="M150" s="17" t="s">
        <v>1824</v>
      </c>
      <c r="N150" s="17"/>
      <c r="O150" s="17" t="s">
        <v>324</v>
      </c>
      <c r="P150" s="17" t="s">
        <v>325</v>
      </c>
      <c r="Q150" s="17" t="s">
        <v>1825</v>
      </c>
      <c r="R150" s="17" t="s">
        <v>1440</v>
      </c>
      <c r="S150" s="17" t="s">
        <v>82</v>
      </c>
      <c r="T150" s="17" t="s">
        <v>1839</v>
      </c>
      <c r="U150" s="17" t="s">
        <v>1911</v>
      </c>
      <c r="V150" s="17" t="s">
        <v>1841</v>
      </c>
      <c r="W150" s="17" t="s">
        <v>209</v>
      </c>
      <c r="X150" s="17" t="s">
        <v>1831</v>
      </c>
      <c r="Y150" s="17" t="s">
        <v>1832</v>
      </c>
      <c r="Z150" s="17" t="s">
        <v>151</v>
      </c>
      <c r="AA150" s="17" t="s">
        <v>162</v>
      </c>
      <c r="AB150" s="17" t="s">
        <v>341</v>
      </c>
      <c r="AC150" s="19" t="s">
        <v>38</v>
      </c>
      <c r="AD150" s="20" t="s">
        <v>350</v>
      </c>
      <c r="AE150" s="21" t="s">
        <v>174</v>
      </c>
      <c r="AF150" s="24" t="s">
        <v>315</v>
      </c>
    </row>
    <row r="151" ht="43.5" customHeight="1">
      <c r="A151" s="17" t="s">
        <v>1914</v>
      </c>
      <c r="B151" s="17">
        <v>147.0</v>
      </c>
      <c r="C151" s="17" t="s">
        <v>1817</v>
      </c>
      <c r="D151" s="17">
        <v>10.0</v>
      </c>
      <c r="E151" s="17" t="s">
        <v>1818</v>
      </c>
      <c r="F151" s="17" t="s">
        <v>344</v>
      </c>
      <c r="G151" s="17">
        <v>8.0</v>
      </c>
      <c r="H151" s="17" t="s">
        <v>123</v>
      </c>
      <c r="I151" s="17" t="s">
        <v>1916</v>
      </c>
      <c r="J151" s="17" t="s">
        <v>1917</v>
      </c>
      <c r="K151" s="17" t="s">
        <v>1858</v>
      </c>
      <c r="L151" s="17" t="s">
        <v>1858</v>
      </c>
      <c r="M151" s="17" t="s">
        <v>1838</v>
      </c>
      <c r="N151" s="17"/>
      <c r="O151" s="17" t="s">
        <v>324</v>
      </c>
      <c r="P151" s="17" t="s">
        <v>325</v>
      </c>
      <c r="Q151" s="17" t="s">
        <v>1825</v>
      </c>
      <c r="R151" s="17" t="s">
        <v>1440</v>
      </c>
      <c r="S151" s="17" t="s">
        <v>82</v>
      </c>
      <c r="T151" s="17" t="s">
        <v>1859</v>
      </c>
      <c r="U151" s="17" t="s">
        <v>1919</v>
      </c>
      <c r="V151" s="17" t="s">
        <v>1861</v>
      </c>
      <c r="W151" s="17" t="s">
        <v>209</v>
      </c>
      <c r="X151" s="17" t="s">
        <v>1831</v>
      </c>
      <c r="Y151" s="17" t="s">
        <v>1832</v>
      </c>
      <c r="Z151" s="17" t="s">
        <v>151</v>
      </c>
      <c r="AA151" s="17" t="s">
        <v>162</v>
      </c>
      <c r="AB151" s="17" t="s">
        <v>341</v>
      </c>
      <c r="AC151" s="19" t="s">
        <v>38</v>
      </c>
      <c r="AD151" s="20" t="s">
        <v>350</v>
      </c>
      <c r="AE151" s="21" t="s">
        <v>174</v>
      </c>
      <c r="AF151" s="24" t="s">
        <v>315</v>
      </c>
    </row>
    <row r="152" ht="43.5" customHeight="1">
      <c r="A152" s="17" t="s">
        <v>1921</v>
      </c>
      <c r="B152" s="17">
        <v>148.0</v>
      </c>
      <c r="C152" s="17" t="s">
        <v>1817</v>
      </c>
      <c r="D152" s="17">
        <v>10.0</v>
      </c>
      <c r="E152" s="17" t="s">
        <v>1818</v>
      </c>
      <c r="F152" s="17" t="s">
        <v>344</v>
      </c>
      <c r="G152" s="17">
        <v>9.0</v>
      </c>
      <c r="H152" s="17" t="s">
        <v>123</v>
      </c>
      <c r="I152" s="17" t="s">
        <v>1924</v>
      </c>
      <c r="J152" s="17" t="s">
        <v>1925</v>
      </c>
      <c r="K152" s="17" t="s">
        <v>1868</v>
      </c>
      <c r="L152" s="17" t="s">
        <v>1868</v>
      </c>
      <c r="M152" s="17" t="s">
        <v>1858</v>
      </c>
      <c r="N152" s="17"/>
      <c r="O152" s="17" t="s">
        <v>324</v>
      </c>
      <c r="P152" s="17" t="s">
        <v>325</v>
      </c>
      <c r="Q152" s="17" t="s">
        <v>1825</v>
      </c>
      <c r="R152" s="17" t="s">
        <v>1440</v>
      </c>
      <c r="S152" s="17" t="s">
        <v>82</v>
      </c>
      <c r="T152" s="17" t="s">
        <v>1870</v>
      </c>
      <c r="U152" s="17" t="s">
        <v>1927</v>
      </c>
      <c r="V152" s="17" t="s">
        <v>1872</v>
      </c>
      <c r="W152" s="17" t="s">
        <v>209</v>
      </c>
      <c r="X152" s="17" t="s">
        <v>1831</v>
      </c>
      <c r="Y152" s="17" t="s">
        <v>1832</v>
      </c>
      <c r="Z152" s="17" t="s">
        <v>151</v>
      </c>
      <c r="AA152" s="17" t="s">
        <v>162</v>
      </c>
      <c r="AB152" s="17" t="s">
        <v>341</v>
      </c>
      <c r="AC152" s="19" t="s">
        <v>38</v>
      </c>
      <c r="AD152" s="20" t="s">
        <v>350</v>
      </c>
      <c r="AE152" s="21" t="s">
        <v>174</v>
      </c>
      <c r="AF152" s="24" t="s">
        <v>315</v>
      </c>
    </row>
    <row r="153" ht="43.5" customHeight="1">
      <c r="A153" s="17" t="s">
        <v>1928</v>
      </c>
      <c r="B153" s="17">
        <v>149.0</v>
      </c>
      <c r="C153" s="17" t="s">
        <v>1817</v>
      </c>
      <c r="D153" s="17">
        <v>10.0</v>
      </c>
      <c r="E153" s="17" t="s">
        <v>1818</v>
      </c>
      <c r="F153" s="17" t="s">
        <v>344</v>
      </c>
      <c r="G153" s="17">
        <v>10.0</v>
      </c>
      <c r="H153" s="17" t="s">
        <v>123</v>
      </c>
      <c r="I153" s="17" t="s">
        <v>1929</v>
      </c>
      <c r="J153" s="17" t="s">
        <v>1930</v>
      </c>
      <c r="K153" s="17" t="s">
        <v>1882</v>
      </c>
      <c r="L153" s="17" t="s">
        <v>1882</v>
      </c>
      <c r="M153" s="17" t="s">
        <v>1868</v>
      </c>
      <c r="N153" s="17"/>
      <c r="O153" s="17" t="s">
        <v>324</v>
      </c>
      <c r="P153" s="17" t="s">
        <v>325</v>
      </c>
      <c r="Q153" s="17" t="s">
        <v>1825</v>
      </c>
      <c r="R153" s="17" t="s">
        <v>1440</v>
      </c>
      <c r="S153" s="17" t="s">
        <v>82</v>
      </c>
      <c r="T153" s="17" t="s">
        <v>1883</v>
      </c>
      <c r="U153" s="17" t="s">
        <v>1932</v>
      </c>
      <c r="V153" s="17" t="s">
        <v>1885</v>
      </c>
      <c r="W153" s="17" t="s">
        <v>417</v>
      </c>
      <c r="X153" s="17" t="s">
        <v>1831</v>
      </c>
      <c r="Y153" s="17" t="s">
        <v>1832</v>
      </c>
      <c r="Z153" s="17" t="s">
        <v>151</v>
      </c>
      <c r="AA153" s="17" t="s">
        <v>162</v>
      </c>
      <c r="AB153" s="17" t="s">
        <v>341</v>
      </c>
      <c r="AC153" s="19" t="s">
        <v>38</v>
      </c>
      <c r="AD153" s="20" t="s">
        <v>350</v>
      </c>
      <c r="AE153" s="21" t="s">
        <v>174</v>
      </c>
      <c r="AF153" s="24" t="s">
        <v>315</v>
      </c>
    </row>
    <row r="154" ht="43.5" customHeight="1">
      <c r="A154" s="17" t="s">
        <v>1936</v>
      </c>
      <c r="B154" s="17">
        <v>150.0</v>
      </c>
      <c r="C154" s="17" t="s">
        <v>1817</v>
      </c>
      <c r="D154" s="17">
        <v>10.0</v>
      </c>
      <c r="E154" s="17" t="s">
        <v>1818</v>
      </c>
      <c r="F154" s="17" t="s">
        <v>344</v>
      </c>
      <c r="G154" s="17">
        <v>11.0</v>
      </c>
      <c r="H154" s="17" t="s">
        <v>123</v>
      </c>
      <c r="I154" s="17" t="s">
        <v>1940</v>
      </c>
      <c r="J154" s="17" t="s">
        <v>1941</v>
      </c>
      <c r="K154" s="17" t="s">
        <v>1824</v>
      </c>
      <c r="L154" s="17" t="s">
        <v>1824</v>
      </c>
      <c r="M154" s="17" t="s">
        <v>1882</v>
      </c>
      <c r="N154" s="17"/>
      <c r="O154" s="17" t="s">
        <v>324</v>
      </c>
      <c r="P154" s="17" t="s">
        <v>325</v>
      </c>
      <c r="Q154" s="17" t="s">
        <v>1825</v>
      </c>
      <c r="R154" s="17" t="s">
        <v>1440</v>
      </c>
      <c r="S154" s="17" t="s">
        <v>82</v>
      </c>
      <c r="T154" s="17" t="s">
        <v>1826</v>
      </c>
      <c r="U154" s="17" t="s">
        <v>1942</v>
      </c>
      <c r="V154" s="17" t="s">
        <v>1828</v>
      </c>
      <c r="W154" s="17" t="s">
        <v>452</v>
      </c>
      <c r="X154" s="17" t="s">
        <v>1831</v>
      </c>
      <c r="Y154" s="17" t="s">
        <v>1832</v>
      </c>
      <c r="Z154" s="17" t="s">
        <v>151</v>
      </c>
      <c r="AA154" s="17" t="s">
        <v>162</v>
      </c>
      <c r="AB154" s="17" t="s">
        <v>341</v>
      </c>
      <c r="AC154" s="19" t="s">
        <v>38</v>
      </c>
      <c r="AD154" s="20" t="s">
        <v>350</v>
      </c>
      <c r="AE154" s="21" t="s">
        <v>174</v>
      </c>
      <c r="AF154" s="22" t="s">
        <v>182</v>
      </c>
    </row>
    <row r="155" ht="43.5" customHeight="1">
      <c r="A155" s="17" t="s">
        <v>1946</v>
      </c>
      <c r="B155" s="17">
        <v>151.0</v>
      </c>
      <c r="C155" s="17" t="s">
        <v>1817</v>
      </c>
      <c r="D155" s="17">
        <v>10.0</v>
      </c>
      <c r="E155" s="17" t="s">
        <v>1818</v>
      </c>
      <c r="F155" s="17" t="s">
        <v>344</v>
      </c>
      <c r="G155" s="17">
        <v>14.0</v>
      </c>
      <c r="H155" s="17" t="s">
        <v>564</v>
      </c>
      <c r="I155" s="17" t="s">
        <v>1948</v>
      </c>
      <c r="J155" s="17" t="s">
        <v>566</v>
      </c>
      <c r="K155" s="17" t="s">
        <v>567</v>
      </c>
      <c r="L155" s="17" t="s">
        <v>568</v>
      </c>
      <c r="M155" s="17" t="s">
        <v>569</v>
      </c>
      <c r="N155" s="17" t="s">
        <v>571</v>
      </c>
      <c r="O155" s="17" t="s">
        <v>130</v>
      </c>
      <c r="P155" s="17" t="s">
        <v>133</v>
      </c>
      <c r="Q155" s="17" t="s">
        <v>573</v>
      </c>
      <c r="R155" s="17" t="s">
        <v>379</v>
      </c>
      <c r="S155" s="17" t="s">
        <v>82</v>
      </c>
      <c r="T155" s="17" t="s">
        <v>574</v>
      </c>
      <c r="U155" s="17" t="s">
        <v>575</v>
      </c>
      <c r="V155" s="17" t="s">
        <v>577</v>
      </c>
      <c r="W155" s="17" t="s">
        <v>578</v>
      </c>
      <c r="X155" s="17" t="s">
        <v>1831</v>
      </c>
      <c r="Y155" s="17" t="s">
        <v>581</v>
      </c>
      <c r="Z155" s="17" t="s">
        <v>151</v>
      </c>
      <c r="AA155" s="17" t="s">
        <v>162</v>
      </c>
      <c r="AB155" s="17" t="s">
        <v>582</v>
      </c>
      <c r="AC155" s="19" t="s">
        <v>38</v>
      </c>
      <c r="AD155" s="20" t="s">
        <v>350</v>
      </c>
      <c r="AE155" s="21" t="s">
        <v>174</v>
      </c>
      <c r="AF155" s="22" t="s">
        <v>182</v>
      </c>
    </row>
    <row r="156" ht="15.75" customHeight="1">
      <c r="A156" s="17" t="s">
        <v>1951</v>
      </c>
      <c r="B156" s="17">
        <v>152.0</v>
      </c>
      <c r="C156" s="17" t="s">
        <v>1817</v>
      </c>
      <c r="D156" s="17">
        <v>10.0</v>
      </c>
      <c r="E156" s="17" t="s">
        <v>1818</v>
      </c>
      <c r="F156" s="17" t="s">
        <v>344</v>
      </c>
      <c r="G156" s="17">
        <v>15.0</v>
      </c>
      <c r="H156" s="17" t="s">
        <v>586</v>
      </c>
      <c r="I156" s="17" t="s">
        <v>1953</v>
      </c>
      <c r="J156" s="17" t="s">
        <v>1954</v>
      </c>
      <c r="K156" s="17" t="s">
        <v>1955</v>
      </c>
      <c r="L156" s="17" t="s">
        <v>1882</v>
      </c>
      <c r="M156" s="17" t="s">
        <v>591</v>
      </c>
      <c r="N156" s="17"/>
      <c r="O156" s="17" t="s">
        <v>592</v>
      </c>
      <c r="P156" s="17" t="s">
        <v>593</v>
      </c>
      <c r="Q156" s="17" t="s">
        <v>1825</v>
      </c>
      <c r="R156" s="17" t="s">
        <v>1440</v>
      </c>
      <c r="S156" s="17" t="s">
        <v>82</v>
      </c>
      <c r="T156" s="17" t="s">
        <v>595</v>
      </c>
      <c r="U156" s="17" t="s">
        <v>1942</v>
      </c>
      <c r="V156" s="17" t="s">
        <v>1957</v>
      </c>
      <c r="W156" s="17" t="s">
        <v>597</v>
      </c>
      <c r="X156" s="17" t="s">
        <v>1831</v>
      </c>
      <c r="Y156" s="17" t="s">
        <v>1832</v>
      </c>
      <c r="Z156" s="17" t="s">
        <v>151</v>
      </c>
      <c r="AA156" s="17" t="s">
        <v>162</v>
      </c>
      <c r="AB156" s="17" t="s">
        <v>598</v>
      </c>
      <c r="AC156" s="26" t="s">
        <v>38</v>
      </c>
      <c r="AD156" s="27" t="s">
        <v>350</v>
      </c>
      <c r="AE156" s="28" t="s">
        <v>174</v>
      </c>
      <c r="AF156" s="23" t="s">
        <v>272</v>
      </c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</sheetData>
  <mergeCells count="2">
    <mergeCell ref="A1:AE1"/>
    <mergeCell ref="A2:AE2"/>
  </mergeCells>
  <conditionalFormatting sqref="H4:H155">
    <cfRule type="expression" dxfId="0" priority="1">
      <formula>H4="Reconnection"</formula>
    </cfRule>
  </conditionalFormatting>
  <conditionalFormatting sqref="H4:H155">
    <cfRule type="expression" dxfId="1" priority="2">
      <formula>H4="Core"</formula>
    </cfRule>
  </conditionalFormatting>
  <conditionalFormatting sqref="H4:H155">
    <cfRule type="expression" dxfId="2" priority="3">
      <formula>H4="Consolidation / Mastery"</formula>
    </cfRule>
  </conditionalFormatting>
  <conditionalFormatting sqref="H4:H155">
    <cfRule type="expression" dxfId="3" priority="4">
      <formula>H4="Extension / Portfolio"</formula>
    </cfRule>
  </conditionalFormatting>
  <conditionalFormatting sqref="H4:H155">
    <cfRule type="expression" dxfId="4" priority="5">
      <formula>H4="Qualification Practice"</formula>
    </cfRule>
  </conditionalFormatting>
  <conditionalFormatting sqref="H4:H155">
    <cfRule type="expression" dxfId="2" priority="6">
      <formula>H4="Portfolio / Pathway Review"</formula>
    </cfRule>
  </conditionalFormatting>
  <dataValidations>
    <dataValidation type="list" allowBlank="1" sqref="AA4:AA155">
      <formula1>"Architecture mapped,Tool designed,HTML built,Guidance built,Reviewed,Locked"</formula1>
    </dataValidation>
    <dataValidation type="list" allowBlank="1" sqref="H4:H155">
      <formula1>"Core,Reconnection,Consolidation / Mastery,Extension / Portfolio,Qualification Practice,Portfolio / Pathway Review"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10.0"/>
    <col customWidth="1" min="3" max="3" width="18.0"/>
    <col customWidth="1" min="4" max="4" width="10.0"/>
    <col customWidth="1" min="5" max="5" width="30.0"/>
    <col customWidth="1" min="6" max="6" width="24.0"/>
    <col customWidth="1" min="7" max="7" width="12.0"/>
    <col customWidth="1" min="8" max="8" width="22.0"/>
    <col customWidth="1" min="9" max="9" width="34.0"/>
    <col customWidth="1" min="10" max="10" width="38.0"/>
    <col customWidth="1" min="11" max="13" width="34.0"/>
    <col customWidth="1" min="14" max="15" width="18.0"/>
    <col customWidth="1" min="16" max="16" width="24.0"/>
    <col customWidth="1" min="17" max="17" width="30.0"/>
    <col customWidth="1" min="18" max="18" width="22.0"/>
    <col customWidth="1" min="19" max="19" width="20.0"/>
    <col customWidth="1" min="20" max="20" width="28.0"/>
    <col customWidth="1" min="21" max="21" width="32.0"/>
    <col customWidth="1" min="22" max="22" width="34.0"/>
    <col customWidth="1" min="23" max="24" width="30.0"/>
    <col customWidth="1" min="25" max="25" width="26.0"/>
    <col customWidth="1" min="26" max="26" width="24.0"/>
    <col customWidth="1" min="27" max="27" width="18.0"/>
    <col customWidth="1" min="28" max="28" width="42.0"/>
    <col customWidth="1" min="29" max="31" width="8.57"/>
    <col customWidth="1" min="32" max="32" width="12.57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ht="33.75" customHeight="1">
      <c r="A2" s="5" t="s">
        <v>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ht="39.75" customHeight="1">
      <c r="A3" s="8" t="s">
        <v>33</v>
      </c>
      <c r="B3" s="8" t="s">
        <v>35</v>
      </c>
      <c r="C3" s="8" t="s">
        <v>36</v>
      </c>
      <c r="D3" s="8" t="s">
        <v>37</v>
      </c>
      <c r="E3" s="8" t="s">
        <v>39</v>
      </c>
      <c r="F3" s="8" t="s">
        <v>8</v>
      </c>
      <c r="G3" s="8" t="s">
        <v>40</v>
      </c>
      <c r="H3" s="8" t="s">
        <v>41</v>
      </c>
      <c r="I3" s="8" t="s">
        <v>9</v>
      </c>
      <c r="J3" s="8" t="s">
        <v>42</v>
      </c>
      <c r="K3" s="8" t="s">
        <v>45</v>
      </c>
      <c r="L3" s="8" t="s">
        <v>11</v>
      </c>
      <c r="M3" s="8" t="s">
        <v>47</v>
      </c>
      <c r="N3" s="8" t="s">
        <v>48</v>
      </c>
      <c r="O3" s="8" t="s">
        <v>52</v>
      </c>
      <c r="P3" s="8" t="s">
        <v>56</v>
      </c>
      <c r="Q3" s="8" t="s">
        <v>59</v>
      </c>
      <c r="R3" s="8" t="s">
        <v>61</v>
      </c>
      <c r="S3" s="8" t="s">
        <v>13</v>
      </c>
      <c r="T3" s="8" t="s">
        <v>63</v>
      </c>
      <c r="U3" s="8" t="s">
        <v>64</v>
      </c>
      <c r="V3" s="8" t="s">
        <v>65</v>
      </c>
      <c r="W3" s="8" t="s">
        <v>66</v>
      </c>
      <c r="X3" s="8" t="s">
        <v>67</v>
      </c>
      <c r="Y3" s="8" t="s">
        <v>69</v>
      </c>
      <c r="Z3" s="8" t="s">
        <v>70</v>
      </c>
      <c r="AA3" s="8" t="s">
        <v>72</v>
      </c>
      <c r="AB3" s="8" t="s">
        <v>73</v>
      </c>
      <c r="AC3" s="13" t="s">
        <v>15</v>
      </c>
      <c r="AD3" s="14" t="s">
        <v>34</v>
      </c>
      <c r="AE3" s="15" t="s">
        <v>97</v>
      </c>
      <c r="AF3" s="16" t="s">
        <v>98</v>
      </c>
    </row>
    <row r="4" ht="43.5" customHeight="1">
      <c r="A4" s="17" t="s">
        <v>100</v>
      </c>
      <c r="B4" s="17">
        <v>1.0</v>
      </c>
      <c r="C4" s="17" t="s">
        <v>107</v>
      </c>
      <c r="D4" s="17">
        <v>1.0</v>
      </c>
      <c r="E4" s="17" t="s">
        <v>108</v>
      </c>
      <c r="F4" s="17" t="s">
        <v>20</v>
      </c>
      <c r="G4" s="17">
        <v>1.0</v>
      </c>
      <c r="H4" s="17" t="s">
        <v>123</v>
      </c>
      <c r="I4" s="17" t="s">
        <v>124</v>
      </c>
      <c r="J4" s="17" t="s">
        <v>125</v>
      </c>
      <c r="K4" s="17" t="s">
        <v>126</v>
      </c>
      <c r="L4" s="17" t="s">
        <v>126</v>
      </c>
      <c r="M4" s="17" t="s">
        <v>128</v>
      </c>
      <c r="N4" s="17"/>
      <c r="O4" s="17" t="s">
        <v>130</v>
      </c>
      <c r="P4" s="17" t="s">
        <v>133</v>
      </c>
      <c r="Q4" s="17" t="s">
        <v>135</v>
      </c>
      <c r="R4" s="17" t="s">
        <v>136</v>
      </c>
      <c r="S4" s="17" t="s">
        <v>82</v>
      </c>
      <c r="T4" s="17" t="s">
        <v>140</v>
      </c>
      <c r="U4" s="17" t="s">
        <v>142</v>
      </c>
      <c r="V4" s="17" t="s">
        <v>143</v>
      </c>
      <c r="W4" s="17" t="s">
        <v>145</v>
      </c>
      <c r="X4" s="17" t="s">
        <v>147</v>
      </c>
      <c r="Y4" s="17" t="s">
        <v>149</v>
      </c>
      <c r="Z4" s="17" t="s">
        <v>151</v>
      </c>
      <c r="AA4" s="17" t="s">
        <v>162</v>
      </c>
      <c r="AB4" s="17" t="s">
        <v>163</v>
      </c>
      <c r="AC4" s="19" t="s">
        <v>68</v>
      </c>
      <c r="AD4" s="20" t="s">
        <v>168</v>
      </c>
      <c r="AE4" s="21" t="s">
        <v>174</v>
      </c>
      <c r="AF4" s="22" t="s">
        <v>182</v>
      </c>
    </row>
    <row r="5" ht="43.5" customHeight="1">
      <c r="A5" s="17" t="s">
        <v>184</v>
      </c>
      <c r="B5" s="17">
        <v>2.0</v>
      </c>
      <c r="C5" s="17" t="s">
        <v>107</v>
      </c>
      <c r="D5" s="17">
        <v>1.0</v>
      </c>
      <c r="E5" s="17" t="s">
        <v>108</v>
      </c>
      <c r="F5" s="17" t="s">
        <v>20</v>
      </c>
      <c r="G5" s="17">
        <v>2.0</v>
      </c>
      <c r="H5" s="17" t="s">
        <v>123</v>
      </c>
      <c r="I5" s="17" t="s">
        <v>194</v>
      </c>
      <c r="J5" s="17" t="s">
        <v>195</v>
      </c>
      <c r="K5" s="17" t="s">
        <v>196</v>
      </c>
      <c r="L5" s="17" t="s">
        <v>196</v>
      </c>
      <c r="M5" s="17" t="s">
        <v>126</v>
      </c>
      <c r="N5" s="17"/>
      <c r="O5" s="17" t="s">
        <v>130</v>
      </c>
      <c r="P5" s="17" t="s">
        <v>133</v>
      </c>
      <c r="Q5" s="17" t="s">
        <v>135</v>
      </c>
      <c r="R5" s="17" t="s">
        <v>136</v>
      </c>
      <c r="S5" s="17" t="s">
        <v>82</v>
      </c>
      <c r="T5" s="17" t="s">
        <v>200</v>
      </c>
      <c r="U5" s="17" t="s">
        <v>203</v>
      </c>
      <c r="V5" s="17" t="s">
        <v>206</v>
      </c>
      <c r="W5" s="17" t="s">
        <v>209</v>
      </c>
      <c r="X5" s="17" t="s">
        <v>147</v>
      </c>
      <c r="Y5" s="17" t="s">
        <v>149</v>
      </c>
      <c r="Z5" s="17" t="s">
        <v>151</v>
      </c>
      <c r="AA5" s="17" t="s">
        <v>162</v>
      </c>
      <c r="AB5" s="17" t="s">
        <v>163</v>
      </c>
      <c r="AC5" s="19" t="s">
        <v>68</v>
      </c>
      <c r="AD5" s="20" t="s">
        <v>168</v>
      </c>
      <c r="AE5" s="21" t="s">
        <v>174</v>
      </c>
      <c r="AF5" s="22" t="s">
        <v>182</v>
      </c>
    </row>
    <row r="6" ht="43.5" customHeight="1">
      <c r="A6" s="17" t="s">
        <v>213</v>
      </c>
      <c r="B6" s="17">
        <v>3.0</v>
      </c>
      <c r="C6" s="17" t="s">
        <v>107</v>
      </c>
      <c r="D6" s="17">
        <v>1.0</v>
      </c>
      <c r="E6" s="17" t="s">
        <v>108</v>
      </c>
      <c r="F6" s="17" t="s">
        <v>20</v>
      </c>
      <c r="G6" s="17">
        <v>3.0</v>
      </c>
      <c r="H6" s="17" t="s">
        <v>123</v>
      </c>
      <c r="I6" s="17" t="s">
        <v>220</v>
      </c>
      <c r="J6" s="17" t="s">
        <v>221</v>
      </c>
      <c r="K6" s="17" t="s">
        <v>222</v>
      </c>
      <c r="L6" s="17" t="s">
        <v>222</v>
      </c>
      <c r="M6" s="17" t="s">
        <v>196</v>
      </c>
      <c r="N6" s="17"/>
      <c r="O6" s="17" t="s">
        <v>130</v>
      </c>
      <c r="P6" s="17" t="s">
        <v>133</v>
      </c>
      <c r="Q6" s="17" t="s">
        <v>135</v>
      </c>
      <c r="R6" s="17" t="s">
        <v>136</v>
      </c>
      <c r="S6" s="17" t="s">
        <v>82</v>
      </c>
      <c r="T6" s="17" t="s">
        <v>224</v>
      </c>
      <c r="U6" s="17" t="s">
        <v>227</v>
      </c>
      <c r="V6" s="17" t="s">
        <v>229</v>
      </c>
      <c r="W6" s="17" t="s">
        <v>209</v>
      </c>
      <c r="X6" s="17" t="s">
        <v>147</v>
      </c>
      <c r="Y6" s="17" t="s">
        <v>149</v>
      </c>
      <c r="Z6" s="17" t="s">
        <v>151</v>
      </c>
      <c r="AA6" s="17" t="s">
        <v>162</v>
      </c>
      <c r="AB6" s="17" t="s">
        <v>163</v>
      </c>
      <c r="AC6" s="19" t="s">
        <v>68</v>
      </c>
      <c r="AD6" s="20" t="s">
        <v>168</v>
      </c>
      <c r="AE6" s="21" t="s">
        <v>174</v>
      </c>
      <c r="AF6" s="22" t="s">
        <v>182</v>
      </c>
    </row>
    <row r="7" ht="43.5" customHeight="1">
      <c r="A7" s="17" t="s">
        <v>238</v>
      </c>
      <c r="B7" s="17">
        <v>4.0</v>
      </c>
      <c r="C7" s="17" t="s">
        <v>107</v>
      </c>
      <c r="D7" s="17">
        <v>1.0</v>
      </c>
      <c r="E7" s="17" t="s">
        <v>108</v>
      </c>
      <c r="F7" s="17" t="s">
        <v>20</v>
      </c>
      <c r="G7" s="17">
        <v>4.0</v>
      </c>
      <c r="H7" s="17" t="s">
        <v>240</v>
      </c>
      <c r="I7" s="17" t="s">
        <v>241</v>
      </c>
      <c r="J7" s="17" t="s">
        <v>78</v>
      </c>
      <c r="K7" s="17" t="s">
        <v>80</v>
      </c>
      <c r="L7" s="17" t="s">
        <v>80</v>
      </c>
      <c r="M7" s="17" t="s">
        <v>246</v>
      </c>
      <c r="N7" s="17" t="s">
        <v>71</v>
      </c>
      <c r="O7" s="17" t="s">
        <v>249</v>
      </c>
      <c r="P7" s="17" t="s">
        <v>252</v>
      </c>
      <c r="Q7" s="17" t="s">
        <v>81</v>
      </c>
      <c r="R7" s="17" t="s">
        <v>136</v>
      </c>
      <c r="S7" s="17" t="s">
        <v>82</v>
      </c>
      <c r="T7" s="17" t="s">
        <v>257</v>
      </c>
      <c r="U7" s="17" t="s">
        <v>258</v>
      </c>
      <c r="V7" s="17" t="s">
        <v>259</v>
      </c>
      <c r="W7" s="17" t="s">
        <v>260</v>
      </c>
      <c r="X7" s="17" t="s">
        <v>147</v>
      </c>
      <c r="Y7" s="17" t="s">
        <v>261</v>
      </c>
      <c r="Z7" s="17" t="s">
        <v>151</v>
      </c>
      <c r="AA7" s="17" t="s">
        <v>162</v>
      </c>
      <c r="AB7" s="17" t="s">
        <v>264</v>
      </c>
      <c r="AC7" s="19" t="s">
        <v>68</v>
      </c>
      <c r="AD7" s="20" t="s">
        <v>168</v>
      </c>
      <c r="AE7" s="21" t="s">
        <v>174</v>
      </c>
      <c r="AF7" s="23" t="s">
        <v>272</v>
      </c>
    </row>
    <row r="8" ht="43.5" customHeight="1">
      <c r="A8" s="17" t="s">
        <v>274</v>
      </c>
      <c r="B8" s="17">
        <v>5.0</v>
      </c>
      <c r="C8" s="17" t="s">
        <v>107</v>
      </c>
      <c r="D8" s="17">
        <v>1.0</v>
      </c>
      <c r="E8" s="17" t="s">
        <v>108</v>
      </c>
      <c r="F8" s="17" t="s">
        <v>20</v>
      </c>
      <c r="G8" s="17">
        <v>4.0</v>
      </c>
      <c r="H8" s="17" t="s">
        <v>123</v>
      </c>
      <c r="I8" s="17" t="s">
        <v>282</v>
      </c>
      <c r="J8" s="17" t="s">
        <v>283</v>
      </c>
      <c r="K8" s="17" t="s">
        <v>285</v>
      </c>
      <c r="L8" s="17" t="s">
        <v>285</v>
      </c>
      <c r="M8" s="17" t="s">
        <v>222</v>
      </c>
      <c r="N8" s="17"/>
      <c r="O8" s="17" t="s">
        <v>130</v>
      </c>
      <c r="P8" s="17" t="s">
        <v>133</v>
      </c>
      <c r="Q8" s="17" t="s">
        <v>135</v>
      </c>
      <c r="R8" s="17" t="s">
        <v>136</v>
      </c>
      <c r="S8" s="17" t="s">
        <v>82</v>
      </c>
      <c r="T8" s="17" t="s">
        <v>289</v>
      </c>
      <c r="U8" s="17" t="s">
        <v>290</v>
      </c>
      <c r="V8" s="17" t="s">
        <v>295</v>
      </c>
      <c r="W8" s="17" t="s">
        <v>209</v>
      </c>
      <c r="X8" s="17" t="s">
        <v>147</v>
      </c>
      <c r="Y8" s="17" t="s">
        <v>149</v>
      </c>
      <c r="Z8" s="17" t="s">
        <v>151</v>
      </c>
      <c r="AA8" s="17" t="s">
        <v>162</v>
      </c>
      <c r="AB8" s="17" t="s">
        <v>163</v>
      </c>
      <c r="AC8" s="19" t="s">
        <v>68</v>
      </c>
      <c r="AD8" s="20" t="s">
        <v>168</v>
      </c>
      <c r="AE8" s="21" t="s">
        <v>174</v>
      </c>
      <c r="AF8" s="22" t="s">
        <v>182</v>
      </c>
    </row>
    <row r="9" ht="43.5" customHeight="1">
      <c r="A9" s="17" t="s">
        <v>297</v>
      </c>
      <c r="B9" s="17">
        <v>6.0</v>
      </c>
      <c r="C9" s="17" t="s">
        <v>107</v>
      </c>
      <c r="D9" s="17">
        <v>1.0</v>
      </c>
      <c r="E9" s="17" t="s">
        <v>108</v>
      </c>
      <c r="F9" s="17" t="s">
        <v>20</v>
      </c>
      <c r="G9" s="17">
        <v>5.0</v>
      </c>
      <c r="H9" s="17" t="s">
        <v>123</v>
      </c>
      <c r="I9" s="17" t="s">
        <v>298</v>
      </c>
      <c r="J9" s="17" t="s">
        <v>299</v>
      </c>
      <c r="K9" s="17" t="s">
        <v>300</v>
      </c>
      <c r="L9" s="17" t="s">
        <v>300</v>
      </c>
      <c r="M9" s="17" t="s">
        <v>285</v>
      </c>
      <c r="N9" s="17"/>
      <c r="O9" s="17" t="s">
        <v>130</v>
      </c>
      <c r="P9" s="17" t="s">
        <v>133</v>
      </c>
      <c r="Q9" s="17" t="s">
        <v>135</v>
      </c>
      <c r="R9" s="17" t="s">
        <v>136</v>
      </c>
      <c r="S9" s="17" t="s">
        <v>82</v>
      </c>
      <c r="T9" s="17" t="s">
        <v>301</v>
      </c>
      <c r="U9" s="17" t="s">
        <v>302</v>
      </c>
      <c r="V9" s="17" t="s">
        <v>303</v>
      </c>
      <c r="W9" s="17" t="s">
        <v>145</v>
      </c>
      <c r="X9" s="17" t="s">
        <v>147</v>
      </c>
      <c r="Y9" s="17" t="s">
        <v>149</v>
      </c>
      <c r="Z9" s="17" t="s">
        <v>151</v>
      </c>
      <c r="AA9" s="17" t="s">
        <v>162</v>
      </c>
      <c r="AB9" s="17" t="s">
        <v>163</v>
      </c>
      <c r="AC9" s="19" t="s">
        <v>68</v>
      </c>
      <c r="AD9" s="20" t="s">
        <v>168</v>
      </c>
      <c r="AE9" s="21" t="s">
        <v>174</v>
      </c>
      <c r="AF9" s="22" t="s">
        <v>182</v>
      </c>
    </row>
    <row r="10" ht="43.5" customHeight="1">
      <c r="A10" s="17" t="s">
        <v>304</v>
      </c>
      <c r="B10" s="17">
        <v>7.0</v>
      </c>
      <c r="C10" s="17" t="s">
        <v>107</v>
      </c>
      <c r="D10" s="17">
        <v>1.0</v>
      </c>
      <c r="E10" s="17" t="s">
        <v>108</v>
      </c>
      <c r="F10" s="17" t="s">
        <v>20</v>
      </c>
      <c r="G10" s="17">
        <v>6.0</v>
      </c>
      <c r="H10" s="17" t="s">
        <v>123</v>
      </c>
      <c r="I10" s="17" t="s">
        <v>305</v>
      </c>
      <c r="J10" s="17" t="s">
        <v>306</v>
      </c>
      <c r="K10" s="17" t="s">
        <v>307</v>
      </c>
      <c r="L10" s="17" t="s">
        <v>307</v>
      </c>
      <c r="M10" s="17" t="s">
        <v>300</v>
      </c>
      <c r="N10" s="17"/>
      <c r="O10" s="17" t="s">
        <v>130</v>
      </c>
      <c r="P10" s="17" t="s">
        <v>133</v>
      </c>
      <c r="Q10" s="17" t="s">
        <v>135</v>
      </c>
      <c r="R10" s="17" t="s">
        <v>136</v>
      </c>
      <c r="S10" s="17" t="s">
        <v>82</v>
      </c>
      <c r="T10" s="17" t="s">
        <v>308</v>
      </c>
      <c r="U10" s="17" t="s">
        <v>309</v>
      </c>
      <c r="V10" s="17" t="s">
        <v>310</v>
      </c>
      <c r="W10" s="17" t="s">
        <v>209</v>
      </c>
      <c r="X10" s="17" t="s">
        <v>147</v>
      </c>
      <c r="Y10" s="17" t="s">
        <v>149</v>
      </c>
      <c r="Z10" s="17" t="s">
        <v>151</v>
      </c>
      <c r="AA10" s="17" t="s">
        <v>162</v>
      </c>
      <c r="AB10" s="17" t="s">
        <v>163</v>
      </c>
      <c r="AC10" s="19" t="s">
        <v>68</v>
      </c>
      <c r="AD10" s="20" t="s">
        <v>168</v>
      </c>
      <c r="AE10" s="21" t="s">
        <v>174</v>
      </c>
      <c r="AF10" s="24" t="s">
        <v>315</v>
      </c>
    </row>
    <row r="11" ht="43.5" customHeight="1">
      <c r="A11" s="17" t="s">
        <v>320</v>
      </c>
      <c r="B11" s="17">
        <v>8.0</v>
      </c>
      <c r="C11" s="17" t="s">
        <v>107</v>
      </c>
      <c r="D11" s="17">
        <v>1.0</v>
      </c>
      <c r="E11" s="17" t="s">
        <v>108</v>
      </c>
      <c r="F11" s="17" t="s">
        <v>20</v>
      </c>
      <c r="G11" s="17">
        <v>7.0</v>
      </c>
      <c r="H11" s="17" t="s">
        <v>123</v>
      </c>
      <c r="I11" s="17" t="s">
        <v>327</v>
      </c>
      <c r="J11" s="17" t="s">
        <v>329</v>
      </c>
      <c r="K11" s="17" t="s">
        <v>126</v>
      </c>
      <c r="L11" s="17" t="s">
        <v>126</v>
      </c>
      <c r="M11" s="17" t="s">
        <v>307</v>
      </c>
      <c r="N11" s="17"/>
      <c r="O11" s="17" t="s">
        <v>130</v>
      </c>
      <c r="P11" s="17" t="s">
        <v>133</v>
      </c>
      <c r="Q11" s="17" t="s">
        <v>135</v>
      </c>
      <c r="R11" s="17" t="s">
        <v>136</v>
      </c>
      <c r="S11" s="17" t="s">
        <v>82</v>
      </c>
      <c r="T11" s="17" t="s">
        <v>140</v>
      </c>
      <c r="U11" s="17" t="s">
        <v>337</v>
      </c>
      <c r="V11" s="17" t="s">
        <v>143</v>
      </c>
      <c r="W11" s="17" t="s">
        <v>209</v>
      </c>
      <c r="X11" s="17" t="s">
        <v>147</v>
      </c>
      <c r="Y11" s="17" t="s">
        <v>149</v>
      </c>
      <c r="Z11" s="17" t="s">
        <v>151</v>
      </c>
      <c r="AA11" s="17" t="s">
        <v>162</v>
      </c>
      <c r="AB11" s="17" t="s">
        <v>163</v>
      </c>
      <c r="AC11" s="19" t="s">
        <v>68</v>
      </c>
      <c r="AD11" s="20" t="s">
        <v>168</v>
      </c>
      <c r="AE11" s="21" t="s">
        <v>174</v>
      </c>
      <c r="AF11" s="24" t="s">
        <v>315</v>
      </c>
    </row>
    <row r="12" ht="43.5" customHeight="1">
      <c r="A12" s="17" t="s">
        <v>339</v>
      </c>
      <c r="B12" s="17">
        <v>9.0</v>
      </c>
      <c r="C12" s="17" t="s">
        <v>107</v>
      </c>
      <c r="D12" s="17">
        <v>1.0</v>
      </c>
      <c r="E12" s="17" t="s">
        <v>108</v>
      </c>
      <c r="F12" s="17" t="s">
        <v>20</v>
      </c>
      <c r="G12" s="17">
        <v>8.0</v>
      </c>
      <c r="H12" s="17" t="s">
        <v>123</v>
      </c>
      <c r="I12" s="17" t="s">
        <v>340</v>
      </c>
      <c r="J12" s="17" t="s">
        <v>342</v>
      </c>
      <c r="K12" s="17" t="s">
        <v>196</v>
      </c>
      <c r="L12" s="17" t="s">
        <v>196</v>
      </c>
      <c r="M12" s="17" t="s">
        <v>126</v>
      </c>
      <c r="N12" s="17"/>
      <c r="O12" s="17" t="s">
        <v>130</v>
      </c>
      <c r="P12" s="17" t="s">
        <v>133</v>
      </c>
      <c r="Q12" s="17" t="s">
        <v>135</v>
      </c>
      <c r="R12" s="17" t="s">
        <v>136</v>
      </c>
      <c r="S12" s="17" t="s">
        <v>82</v>
      </c>
      <c r="T12" s="17" t="s">
        <v>200</v>
      </c>
      <c r="U12" s="17" t="s">
        <v>349</v>
      </c>
      <c r="V12" s="17" t="s">
        <v>206</v>
      </c>
      <c r="W12" s="17" t="s">
        <v>209</v>
      </c>
      <c r="X12" s="17" t="s">
        <v>147</v>
      </c>
      <c r="Y12" s="17" t="s">
        <v>149</v>
      </c>
      <c r="Z12" s="17" t="s">
        <v>151</v>
      </c>
      <c r="AA12" s="17" t="s">
        <v>162</v>
      </c>
      <c r="AB12" s="17" t="s">
        <v>163</v>
      </c>
      <c r="AC12" s="19" t="s">
        <v>68</v>
      </c>
      <c r="AD12" s="20" t="s">
        <v>168</v>
      </c>
      <c r="AE12" s="21" t="s">
        <v>174</v>
      </c>
      <c r="AF12" s="24" t="s">
        <v>315</v>
      </c>
    </row>
    <row r="13" ht="43.5" customHeight="1">
      <c r="A13" s="17" t="s">
        <v>352</v>
      </c>
      <c r="B13" s="17">
        <v>10.0</v>
      </c>
      <c r="C13" s="17" t="s">
        <v>107</v>
      </c>
      <c r="D13" s="17">
        <v>1.0</v>
      </c>
      <c r="E13" s="17" t="s">
        <v>108</v>
      </c>
      <c r="F13" s="17" t="s">
        <v>20</v>
      </c>
      <c r="G13" s="17">
        <v>9.0</v>
      </c>
      <c r="H13" s="17" t="s">
        <v>123</v>
      </c>
      <c r="I13" s="17" t="s">
        <v>358</v>
      </c>
      <c r="J13" s="17" t="s">
        <v>359</v>
      </c>
      <c r="K13" s="17" t="s">
        <v>222</v>
      </c>
      <c r="L13" s="17" t="s">
        <v>222</v>
      </c>
      <c r="M13" s="17" t="s">
        <v>196</v>
      </c>
      <c r="N13" s="17"/>
      <c r="O13" s="17" t="s">
        <v>130</v>
      </c>
      <c r="P13" s="17" t="s">
        <v>133</v>
      </c>
      <c r="Q13" s="17" t="s">
        <v>135</v>
      </c>
      <c r="R13" s="17" t="s">
        <v>136</v>
      </c>
      <c r="S13" s="17" t="s">
        <v>82</v>
      </c>
      <c r="T13" s="17" t="s">
        <v>224</v>
      </c>
      <c r="U13" s="17" t="s">
        <v>362</v>
      </c>
      <c r="V13" s="17" t="s">
        <v>229</v>
      </c>
      <c r="W13" s="17" t="s">
        <v>209</v>
      </c>
      <c r="X13" s="17" t="s">
        <v>147</v>
      </c>
      <c r="Y13" s="17" t="s">
        <v>149</v>
      </c>
      <c r="Z13" s="17" t="s">
        <v>151</v>
      </c>
      <c r="AA13" s="17" t="s">
        <v>162</v>
      </c>
      <c r="AB13" s="17" t="s">
        <v>163</v>
      </c>
      <c r="AC13" s="19" t="s">
        <v>68</v>
      </c>
      <c r="AD13" s="20" t="s">
        <v>168</v>
      </c>
      <c r="AE13" s="21" t="s">
        <v>174</v>
      </c>
      <c r="AF13" s="24" t="s">
        <v>315</v>
      </c>
    </row>
    <row r="14" ht="43.5" customHeight="1">
      <c r="A14" s="17" t="s">
        <v>369</v>
      </c>
      <c r="B14" s="17">
        <v>11.0</v>
      </c>
      <c r="C14" s="17" t="s">
        <v>107</v>
      </c>
      <c r="D14" s="17">
        <v>1.0</v>
      </c>
      <c r="E14" s="17" t="s">
        <v>108</v>
      </c>
      <c r="F14" s="17" t="s">
        <v>20</v>
      </c>
      <c r="G14" s="17">
        <v>11.0</v>
      </c>
      <c r="H14" s="17" t="s">
        <v>370</v>
      </c>
      <c r="I14" s="17" t="s">
        <v>371</v>
      </c>
      <c r="J14" s="17" t="s">
        <v>372</v>
      </c>
      <c r="K14" s="17" t="s">
        <v>373</v>
      </c>
      <c r="L14" s="17" t="s">
        <v>126</v>
      </c>
      <c r="M14" s="17" t="s">
        <v>375</v>
      </c>
      <c r="N14" s="17" t="s">
        <v>376</v>
      </c>
      <c r="O14" s="17" t="s">
        <v>130</v>
      </c>
      <c r="P14" s="17" t="s">
        <v>377</v>
      </c>
      <c r="Q14" s="17" t="s">
        <v>378</v>
      </c>
      <c r="R14" s="17" t="s">
        <v>379</v>
      </c>
      <c r="S14" s="17" t="s">
        <v>82</v>
      </c>
      <c r="T14" s="17" t="s">
        <v>380</v>
      </c>
      <c r="U14" s="17" t="s">
        <v>383</v>
      </c>
      <c r="V14" s="17" t="s">
        <v>384</v>
      </c>
      <c r="W14" s="17" t="s">
        <v>389</v>
      </c>
      <c r="X14" s="17" t="s">
        <v>147</v>
      </c>
      <c r="Y14" s="17" t="s">
        <v>391</v>
      </c>
      <c r="Z14" s="17" t="s">
        <v>151</v>
      </c>
      <c r="AA14" s="17" t="s">
        <v>162</v>
      </c>
      <c r="AB14" s="17" t="s">
        <v>395</v>
      </c>
      <c r="AC14" s="19" t="s">
        <v>68</v>
      </c>
      <c r="AD14" s="20" t="s">
        <v>168</v>
      </c>
      <c r="AE14" s="21" t="s">
        <v>174</v>
      </c>
      <c r="AF14" s="22" t="s">
        <v>182</v>
      </c>
    </row>
    <row r="15" ht="43.5" customHeight="1">
      <c r="A15" s="17" t="s">
        <v>397</v>
      </c>
      <c r="B15" s="17">
        <v>12.0</v>
      </c>
      <c r="C15" s="17" t="s">
        <v>107</v>
      </c>
      <c r="D15" s="17">
        <v>1.0</v>
      </c>
      <c r="E15" s="17" t="s">
        <v>108</v>
      </c>
      <c r="F15" s="17" t="s">
        <v>20</v>
      </c>
      <c r="G15" s="17">
        <v>10.0</v>
      </c>
      <c r="H15" s="17" t="s">
        <v>123</v>
      </c>
      <c r="I15" s="17" t="s">
        <v>405</v>
      </c>
      <c r="J15" s="17" t="s">
        <v>407</v>
      </c>
      <c r="K15" s="17" t="s">
        <v>285</v>
      </c>
      <c r="L15" s="17" t="s">
        <v>285</v>
      </c>
      <c r="M15" s="17" t="s">
        <v>222</v>
      </c>
      <c r="N15" s="17"/>
      <c r="O15" s="17" t="s">
        <v>130</v>
      </c>
      <c r="P15" s="17" t="s">
        <v>133</v>
      </c>
      <c r="Q15" s="17" t="s">
        <v>135</v>
      </c>
      <c r="R15" s="17" t="s">
        <v>136</v>
      </c>
      <c r="S15" s="17" t="s">
        <v>82</v>
      </c>
      <c r="T15" s="17" t="s">
        <v>289</v>
      </c>
      <c r="U15" s="17" t="s">
        <v>415</v>
      </c>
      <c r="V15" s="17" t="s">
        <v>295</v>
      </c>
      <c r="W15" s="17" t="s">
        <v>417</v>
      </c>
      <c r="X15" s="17" t="s">
        <v>147</v>
      </c>
      <c r="Y15" s="17" t="s">
        <v>149</v>
      </c>
      <c r="Z15" s="17" t="s">
        <v>151</v>
      </c>
      <c r="AA15" s="17" t="s">
        <v>162</v>
      </c>
      <c r="AB15" s="17" t="s">
        <v>163</v>
      </c>
      <c r="AC15" s="19" t="s">
        <v>68</v>
      </c>
      <c r="AD15" s="20" t="s">
        <v>168</v>
      </c>
      <c r="AE15" s="21" t="s">
        <v>174</v>
      </c>
      <c r="AF15" s="24" t="s">
        <v>315</v>
      </c>
    </row>
    <row r="16" ht="43.5" customHeight="1">
      <c r="A16" s="17" t="s">
        <v>421</v>
      </c>
      <c r="B16" s="17">
        <v>13.0</v>
      </c>
      <c r="C16" s="17" t="s">
        <v>107</v>
      </c>
      <c r="D16" s="17">
        <v>1.0</v>
      </c>
      <c r="E16" s="17" t="s">
        <v>108</v>
      </c>
      <c r="F16" s="17" t="s">
        <v>20</v>
      </c>
      <c r="G16" s="17">
        <v>11.0</v>
      </c>
      <c r="H16" s="17" t="s">
        <v>123</v>
      </c>
      <c r="I16" s="17" t="s">
        <v>425</v>
      </c>
      <c r="J16" s="17" t="s">
        <v>426</v>
      </c>
      <c r="K16" s="17" t="s">
        <v>300</v>
      </c>
      <c r="L16" s="17" t="s">
        <v>300</v>
      </c>
      <c r="M16" s="17" t="s">
        <v>285</v>
      </c>
      <c r="N16" s="17"/>
      <c r="O16" s="17" t="s">
        <v>130</v>
      </c>
      <c r="P16" s="17" t="s">
        <v>133</v>
      </c>
      <c r="Q16" s="17" t="s">
        <v>135</v>
      </c>
      <c r="R16" s="17" t="s">
        <v>136</v>
      </c>
      <c r="S16" s="17" t="s">
        <v>82</v>
      </c>
      <c r="T16" s="17" t="s">
        <v>301</v>
      </c>
      <c r="U16" s="17" t="s">
        <v>436</v>
      </c>
      <c r="V16" s="17" t="s">
        <v>303</v>
      </c>
      <c r="W16" s="17" t="s">
        <v>437</v>
      </c>
      <c r="X16" s="17" t="s">
        <v>147</v>
      </c>
      <c r="Y16" s="17" t="s">
        <v>149</v>
      </c>
      <c r="Z16" s="17" t="s">
        <v>151</v>
      </c>
      <c r="AA16" s="17" t="s">
        <v>162</v>
      </c>
      <c r="AB16" s="17" t="s">
        <v>163</v>
      </c>
      <c r="AC16" s="19" t="s">
        <v>68</v>
      </c>
      <c r="AD16" s="20" t="s">
        <v>168</v>
      </c>
      <c r="AE16" s="21" t="s">
        <v>174</v>
      </c>
      <c r="AF16" s="22" t="s">
        <v>182</v>
      </c>
    </row>
    <row r="17" ht="43.5" customHeight="1">
      <c r="A17" s="17" t="s">
        <v>438</v>
      </c>
      <c r="B17" s="17">
        <v>14.0</v>
      </c>
      <c r="C17" s="17" t="s">
        <v>107</v>
      </c>
      <c r="D17" s="17">
        <v>1.0</v>
      </c>
      <c r="E17" s="17" t="s">
        <v>108</v>
      </c>
      <c r="F17" s="17" t="s">
        <v>20</v>
      </c>
      <c r="G17" s="17">
        <v>12.0</v>
      </c>
      <c r="H17" s="17" t="s">
        <v>123</v>
      </c>
      <c r="I17" s="17" t="s">
        <v>440</v>
      </c>
      <c r="J17" s="17" t="s">
        <v>441</v>
      </c>
      <c r="K17" s="17" t="s">
        <v>307</v>
      </c>
      <c r="L17" s="17" t="s">
        <v>307</v>
      </c>
      <c r="M17" s="17" t="s">
        <v>300</v>
      </c>
      <c r="N17" s="17"/>
      <c r="O17" s="17" t="s">
        <v>130</v>
      </c>
      <c r="P17" s="17" t="s">
        <v>133</v>
      </c>
      <c r="Q17" s="17" t="s">
        <v>135</v>
      </c>
      <c r="R17" s="17" t="s">
        <v>136</v>
      </c>
      <c r="S17" s="17" t="s">
        <v>82</v>
      </c>
      <c r="T17" s="17" t="s">
        <v>308</v>
      </c>
      <c r="U17" s="17" t="s">
        <v>450</v>
      </c>
      <c r="V17" s="17" t="s">
        <v>310</v>
      </c>
      <c r="W17" s="17" t="s">
        <v>452</v>
      </c>
      <c r="X17" s="17" t="s">
        <v>147</v>
      </c>
      <c r="Y17" s="17" t="s">
        <v>149</v>
      </c>
      <c r="Z17" s="17" t="s">
        <v>151</v>
      </c>
      <c r="AA17" s="17" t="s">
        <v>162</v>
      </c>
      <c r="AB17" s="17" t="s">
        <v>163</v>
      </c>
      <c r="AC17" s="19" t="s">
        <v>68</v>
      </c>
      <c r="AD17" s="20" t="s">
        <v>168</v>
      </c>
      <c r="AE17" s="21" t="s">
        <v>174</v>
      </c>
      <c r="AF17" s="22" t="s">
        <v>182</v>
      </c>
    </row>
    <row r="18" ht="43.5" customHeight="1">
      <c r="A18" s="17" t="s">
        <v>456</v>
      </c>
      <c r="B18" s="17">
        <v>15.0</v>
      </c>
      <c r="C18" s="17" t="s">
        <v>107</v>
      </c>
      <c r="D18" s="17">
        <v>1.0</v>
      </c>
      <c r="E18" s="17" t="s">
        <v>108</v>
      </c>
      <c r="F18" s="17" t="s">
        <v>20</v>
      </c>
      <c r="G18" s="17">
        <v>15.0</v>
      </c>
      <c r="H18" s="17" t="s">
        <v>460</v>
      </c>
      <c r="I18" s="17" t="s">
        <v>461</v>
      </c>
      <c r="J18" s="17" t="s">
        <v>462</v>
      </c>
      <c r="K18" s="17" t="s">
        <v>463</v>
      </c>
      <c r="L18" s="17" t="s">
        <v>464</v>
      </c>
      <c r="M18" s="17" t="s">
        <v>465</v>
      </c>
      <c r="N18" s="17" t="s">
        <v>466</v>
      </c>
      <c r="O18" s="17" t="s">
        <v>130</v>
      </c>
      <c r="P18" s="17" t="s">
        <v>133</v>
      </c>
      <c r="Q18" s="17" t="s">
        <v>467</v>
      </c>
      <c r="R18" s="17" t="s">
        <v>379</v>
      </c>
      <c r="S18" s="17" t="s">
        <v>82</v>
      </c>
      <c r="T18" s="17" t="s">
        <v>469</v>
      </c>
      <c r="U18" s="17" t="s">
        <v>450</v>
      </c>
      <c r="V18" s="17" t="s">
        <v>470</v>
      </c>
      <c r="W18" s="17" t="s">
        <v>471</v>
      </c>
      <c r="X18" s="17" t="s">
        <v>147</v>
      </c>
      <c r="Y18" s="17" t="s">
        <v>472</v>
      </c>
      <c r="Z18" s="17" t="s">
        <v>151</v>
      </c>
      <c r="AA18" s="17" t="s">
        <v>162</v>
      </c>
      <c r="AB18" s="17" t="s">
        <v>473</v>
      </c>
      <c r="AC18" s="19" t="s">
        <v>68</v>
      </c>
      <c r="AD18" s="20" t="s">
        <v>168</v>
      </c>
      <c r="AE18" s="21" t="s">
        <v>174</v>
      </c>
      <c r="AF18" s="24" t="s">
        <v>315</v>
      </c>
    </row>
    <row r="19" ht="43.5" customHeight="1">
      <c r="A19" s="17" t="s">
        <v>474</v>
      </c>
      <c r="B19" s="17">
        <v>16.0</v>
      </c>
      <c r="C19" s="17" t="s">
        <v>476</v>
      </c>
      <c r="D19" s="17">
        <v>2.0</v>
      </c>
      <c r="E19" s="17" t="s">
        <v>477</v>
      </c>
      <c r="F19" s="17" t="s">
        <v>86</v>
      </c>
      <c r="G19" s="17">
        <v>1.0</v>
      </c>
      <c r="H19" s="17" t="s">
        <v>123</v>
      </c>
      <c r="I19" s="17" t="s">
        <v>478</v>
      </c>
      <c r="J19" s="17" t="s">
        <v>479</v>
      </c>
      <c r="K19" s="17" t="s">
        <v>481</v>
      </c>
      <c r="L19" s="17" t="s">
        <v>481</v>
      </c>
      <c r="M19" s="17" t="s">
        <v>128</v>
      </c>
      <c r="N19" s="17"/>
      <c r="O19" s="17" t="s">
        <v>249</v>
      </c>
      <c r="P19" s="17" t="s">
        <v>482</v>
      </c>
      <c r="Q19" s="17" t="s">
        <v>483</v>
      </c>
      <c r="R19" s="17" t="s">
        <v>484</v>
      </c>
      <c r="S19" s="17" t="s">
        <v>82</v>
      </c>
      <c r="T19" s="17" t="s">
        <v>487</v>
      </c>
      <c r="U19" s="17" t="s">
        <v>488</v>
      </c>
      <c r="V19" s="17" t="s">
        <v>489</v>
      </c>
      <c r="W19" s="17" t="s">
        <v>145</v>
      </c>
      <c r="X19" s="17" t="s">
        <v>490</v>
      </c>
      <c r="Y19" s="17" t="s">
        <v>491</v>
      </c>
      <c r="Z19" s="17" t="s">
        <v>151</v>
      </c>
      <c r="AA19" s="17" t="s">
        <v>162</v>
      </c>
      <c r="AB19" s="17" t="s">
        <v>163</v>
      </c>
      <c r="AC19" s="19" t="s">
        <v>68</v>
      </c>
      <c r="AD19" s="20" t="s">
        <v>168</v>
      </c>
      <c r="AE19" s="21" t="s">
        <v>174</v>
      </c>
      <c r="AF19" s="22" t="s">
        <v>182</v>
      </c>
    </row>
    <row r="20" ht="43.5" customHeight="1">
      <c r="A20" s="17" t="s">
        <v>493</v>
      </c>
      <c r="B20" s="17">
        <v>17.0</v>
      </c>
      <c r="C20" s="17" t="s">
        <v>476</v>
      </c>
      <c r="D20" s="17">
        <v>2.0</v>
      </c>
      <c r="E20" s="17" t="s">
        <v>477</v>
      </c>
      <c r="F20" s="17" t="s">
        <v>86</v>
      </c>
      <c r="G20" s="17">
        <v>2.0</v>
      </c>
      <c r="H20" s="17" t="s">
        <v>123</v>
      </c>
      <c r="I20" s="17" t="s">
        <v>494</v>
      </c>
      <c r="J20" s="17" t="s">
        <v>496</v>
      </c>
      <c r="K20" s="17" t="s">
        <v>497</v>
      </c>
      <c r="L20" s="17" t="s">
        <v>497</v>
      </c>
      <c r="M20" s="17" t="s">
        <v>481</v>
      </c>
      <c r="N20" s="17"/>
      <c r="O20" s="17" t="s">
        <v>249</v>
      </c>
      <c r="P20" s="17" t="s">
        <v>482</v>
      </c>
      <c r="Q20" s="17" t="s">
        <v>483</v>
      </c>
      <c r="R20" s="17" t="s">
        <v>484</v>
      </c>
      <c r="S20" s="17" t="s">
        <v>82</v>
      </c>
      <c r="T20" s="17" t="s">
        <v>500</v>
      </c>
      <c r="U20" s="17" t="s">
        <v>501</v>
      </c>
      <c r="V20" s="17" t="s">
        <v>502</v>
      </c>
      <c r="W20" s="17" t="s">
        <v>209</v>
      </c>
      <c r="X20" s="17" t="s">
        <v>490</v>
      </c>
      <c r="Y20" s="17" t="s">
        <v>491</v>
      </c>
      <c r="Z20" s="17" t="s">
        <v>151</v>
      </c>
      <c r="AA20" s="17" t="s">
        <v>162</v>
      </c>
      <c r="AB20" s="17" t="s">
        <v>163</v>
      </c>
      <c r="AC20" s="19" t="s">
        <v>68</v>
      </c>
      <c r="AD20" s="20" t="s">
        <v>168</v>
      </c>
      <c r="AE20" s="21" t="s">
        <v>174</v>
      </c>
      <c r="AF20" s="22" t="s">
        <v>182</v>
      </c>
    </row>
    <row r="21" ht="43.5" customHeight="1">
      <c r="A21" s="17" t="s">
        <v>504</v>
      </c>
      <c r="B21" s="17">
        <v>18.0</v>
      </c>
      <c r="C21" s="17" t="s">
        <v>476</v>
      </c>
      <c r="D21" s="17">
        <v>2.0</v>
      </c>
      <c r="E21" s="17" t="s">
        <v>477</v>
      </c>
      <c r="F21" s="17" t="s">
        <v>86</v>
      </c>
      <c r="G21" s="17">
        <v>3.0</v>
      </c>
      <c r="H21" s="17" t="s">
        <v>123</v>
      </c>
      <c r="I21" s="17" t="s">
        <v>506</v>
      </c>
      <c r="J21" s="17" t="s">
        <v>507</v>
      </c>
      <c r="K21" s="17" t="s">
        <v>508</v>
      </c>
      <c r="L21" s="17" t="s">
        <v>508</v>
      </c>
      <c r="M21" s="17" t="s">
        <v>497</v>
      </c>
      <c r="N21" s="17"/>
      <c r="O21" s="17" t="s">
        <v>249</v>
      </c>
      <c r="P21" s="17" t="s">
        <v>482</v>
      </c>
      <c r="Q21" s="17" t="s">
        <v>483</v>
      </c>
      <c r="R21" s="17" t="s">
        <v>484</v>
      </c>
      <c r="S21" s="17" t="s">
        <v>82</v>
      </c>
      <c r="T21" s="17" t="s">
        <v>511</v>
      </c>
      <c r="U21" s="17" t="s">
        <v>512</v>
      </c>
      <c r="V21" s="17" t="s">
        <v>513</v>
      </c>
      <c r="W21" s="17" t="s">
        <v>209</v>
      </c>
      <c r="X21" s="17" t="s">
        <v>490</v>
      </c>
      <c r="Y21" s="17" t="s">
        <v>491</v>
      </c>
      <c r="Z21" s="17" t="s">
        <v>151</v>
      </c>
      <c r="AA21" s="17" t="s">
        <v>162</v>
      </c>
      <c r="AB21" s="17" t="s">
        <v>163</v>
      </c>
      <c r="AC21" s="19" t="s">
        <v>68</v>
      </c>
      <c r="AD21" s="20" t="s">
        <v>168</v>
      </c>
      <c r="AE21" s="21" t="s">
        <v>174</v>
      </c>
      <c r="AF21" s="22" t="s">
        <v>182</v>
      </c>
    </row>
    <row r="22" ht="43.5" customHeight="1">
      <c r="A22" s="17" t="s">
        <v>515</v>
      </c>
      <c r="B22" s="17">
        <v>19.0</v>
      </c>
      <c r="C22" s="17" t="s">
        <v>476</v>
      </c>
      <c r="D22" s="17">
        <v>2.0</v>
      </c>
      <c r="E22" s="17" t="s">
        <v>477</v>
      </c>
      <c r="F22" s="17" t="s">
        <v>86</v>
      </c>
      <c r="G22" s="17">
        <v>4.0</v>
      </c>
      <c r="H22" s="17" t="s">
        <v>240</v>
      </c>
      <c r="I22" s="17" t="s">
        <v>517</v>
      </c>
      <c r="J22" s="17" t="s">
        <v>171</v>
      </c>
      <c r="K22" s="17" t="s">
        <v>172</v>
      </c>
      <c r="L22" s="17" t="s">
        <v>172</v>
      </c>
      <c r="M22" s="17" t="s">
        <v>519</v>
      </c>
      <c r="N22" s="17" t="s">
        <v>169</v>
      </c>
      <c r="O22" s="17" t="s">
        <v>249</v>
      </c>
      <c r="P22" s="17" t="s">
        <v>252</v>
      </c>
      <c r="Q22" s="17" t="s">
        <v>173</v>
      </c>
      <c r="R22" s="17" t="s">
        <v>484</v>
      </c>
      <c r="S22" s="17" t="s">
        <v>82</v>
      </c>
      <c r="T22" s="17" t="s">
        <v>521</v>
      </c>
      <c r="U22" s="17" t="s">
        <v>522</v>
      </c>
      <c r="V22" s="17" t="s">
        <v>523</v>
      </c>
      <c r="W22" s="17" t="s">
        <v>260</v>
      </c>
      <c r="X22" s="17" t="s">
        <v>490</v>
      </c>
      <c r="Y22" s="17" t="s">
        <v>261</v>
      </c>
      <c r="Z22" s="17" t="s">
        <v>151</v>
      </c>
      <c r="AA22" s="17" t="s">
        <v>162</v>
      </c>
      <c r="AB22" s="17" t="s">
        <v>527</v>
      </c>
      <c r="AC22" s="19" t="s">
        <v>68</v>
      </c>
      <c r="AD22" s="20" t="s">
        <v>168</v>
      </c>
      <c r="AE22" s="21" t="s">
        <v>174</v>
      </c>
      <c r="AF22" s="23" t="s">
        <v>272</v>
      </c>
    </row>
    <row r="23" ht="43.5" customHeight="1">
      <c r="A23" s="17" t="s">
        <v>528</v>
      </c>
      <c r="B23" s="17">
        <v>20.0</v>
      </c>
      <c r="C23" s="17" t="s">
        <v>476</v>
      </c>
      <c r="D23" s="17">
        <v>2.0</v>
      </c>
      <c r="E23" s="17" t="s">
        <v>477</v>
      </c>
      <c r="F23" s="17" t="s">
        <v>86</v>
      </c>
      <c r="G23" s="17">
        <v>4.0</v>
      </c>
      <c r="H23" s="17" t="s">
        <v>123</v>
      </c>
      <c r="I23" s="17" t="s">
        <v>530</v>
      </c>
      <c r="J23" s="17" t="s">
        <v>532</v>
      </c>
      <c r="K23" s="17" t="s">
        <v>534</v>
      </c>
      <c r="L23" s="17" t="s">
        <v>534</v>
      </c>
      <c r="M23" s="17" t="s">
        <v>508</v>
      </c>
      <c r="N23" s="17"/>
      <c r="O23" s="17" t="s">
        <v>249</v>
      </c>
      <c r="P23" s="17" t="s">
        <v>482</v>
      </c>
      <c r="Q23" s="17" t="s">
        <v>483</v>
      </c>
      <c r="R23" s="17" t="s">
        <v>484</v>
      </c>
      <c r="S23" s="17" t="s">
        <v>82</v>
      </c>
      <c r="T23" s="17" t="s">
        <v>536</v>
      </c>
      <c r="U23" s="17" t="s">
        <v>537</v>
      </c>
      <c r="V23" s="17" t="s">
        <v>538</v>
      </c>
      <c r="W23" s="17" t="s">
        <v>209</v>
      </c>
      <c r="X23" s="17" t="s">
        <v>490</v>
      </c>
      <c r="Y23" s="17" t="s">
        <v>491</v>
      </c>
      <c r="Z23" s="17" t="s">
        <v>151</v>
      </c>
      <c r="AA23" s="17" t="s">
        <v>162</v>
      </c>
      <c r="AB23" s="17" t="s">
        <v>163</v>
      </c>
      <c r="AC23" s="19" t="s">
        <v>68</v>
      </c>
      <c r="AD23" s="20" t="s">
        <v>168</v>
      </c>
      <c r="AE23" s="21" t="s">
        <v>174</v>
      </c>
      <c r="AF23" s="22" t="s">
        <v>182</v>
      </c>
    </row>
    <row r="24" ht="43.5" customHeight="1">
      <c r="A24" s="17" t="s">
        <v>540</v>
      </c>
      <c r="B24" s="17">
        <v>21.0</v>
      </c>
      <c r="C24" s="17" t="s">
        <v>476</v>
      </c>
      <c r="D24" s="17">
        <v>2.0</v>
      </c>
      <c r="E24" s="17" t="s">
        <v>477</v>
      </c>
      <c r="F24" s="17" t="s">
        <v>86</v>
      </c>
      <c r="G24" s="17">
        <v>5.0</v>
      </c>
      <c r="H24" s="17" t="s">
        <v>123</v>
      </c>
      <c r="I24" s="17" t="s">
        <v>541</v>
      </c>
      <c r="J24" s="17" t="s">
        <v>542</v>
      </c>
      <c r="K24" s="17" t="s">
        <v>543</v>
      </c>
      <c r="L24" s="17" t="s">
        <v>543</v>
      </c>
      <c r="M24" s="17" t="s">
        <v>534</v>
      </c>
      <c r="N24" s="17"/>
      <c r="O24" s="17" t="s">
        <v>249</v>
      </c>
      <c r="P24" s="17" t="s">
        <v>482</v>
      </c>
      <c r="Q24" s="17" t="s">
        <v>483</v>
      </c>
      <c r="R24" s="17" t="s">
        <v>484</v>
      </c>
      <c r="S24" s="17" t="s">
        <v>82</v>
      </c>
      <c r="T24" s="17" t="s">
        <v>544</v>
      </c>
      <c r="U24" s="17" t="s">
        <v>545</v>
      </c>
      <c r="V24" s="17" t="s">
        <v>547</v>
      </c>
      <c r="W24" s="17" t="s">
        <v>145</v>
      </c>
      <c r="X24" s="17" t="s">
        <v>490</v>
      </c>
      <c r="Y24" s="17" t="s">
        <v>491</v>
      </c>
      <c r="Z24" s="17" t="s">
        <v>151</v>
      </c>
      <c r="AA24" s="17" t="s">
        <v>162</v>
      </c>
      <c r="AB24" s="17" t="s">
        <v>163</v>
      </c>
      <c r="AC24" s="19" t="s">
        <v>68</v>
      </c>
      <c r="AD24" s="20" t="s">
        <v>168</v>
      </c>
      <c r="AE24" s="21" t="s">
        <v>174</v>
      </c>
      <c r="AF24" s="22" t="s">
        <v>182</v>
      </c>
    </row>
    <row r="25" ht="43.5" customHeight="1">
      <c r="A25" s="17" t="s">
        <v>549</v>
      </c>
      <c r="B25" s="17">
        <v>22.0</v>
      </c>
      <c r="C25" s="17" t="s">
        <v>476</v>
      </c>
      <c r="D25" s="17">
        <v>2.0</v>
      </c>
      <c r="E25" s="17" t="s">
        <v>477</v>
      </c>
      <c r="F25" s="17" t="s">
        <v>86</v>
      </c>
      <c r="G25" s="17">
        <v>6.0</v>
      </c>
      <c r="H25" s="17" t="s">
        <v>123</v>
      </c>
      <c r="I25" s="17" t="s">
        <v>550</v>
      </c>
      <c r="J25" s="17" t="s">
        <v>551</v>
      </c>
      <c r="K25" s="17" t="s">
        <v>552</v>
      </c>
      <c r="L25" s="17" t="s">
        <v>552</v>
      </c>
      <c r="M25" s="17" t="s">
        <v>543</v>
      </c>
      <c r="N25" s="17"/>
      <c r="O25" s="17" t="s">
        <v>249</v>
      </c>
      <c r="P25" s="17" t="s">
        <v>482</v>
      </c>
      <c r="Q25" s="17" t="s">
        <v>483</v>
      </c>
      <c r="R25" s="17" t="s">
        <v>484</v>
      </c>
      <c r="S25" s="17" t="s">
        <v>82</v>
      </c>
      <c r="T25" s="17" t="s">
        <v>554</v>
      </c>
      <c r="U25" s="17" t="s">
        <v>555</v>
      </c>
      <c r="V25" s="17" t="s">
        <v>556</v>
      </c>
      <c r="W25" s="17" t="s">
        <v>209</v>
      </c>
      <c r="X25" s="17" t="s">
        <v>490</v>
      </c>
      <c r="Y25" s="17" t="s">
        <v>491</v>
      </c>
      <c r="Z25" s="17" t="s">
        <v>151</v>
      </c>
      <c r="AA25" s="17" t="s">
        <v>162</v>
      </c>
      <c r="AB25" s="17" t="s">
        <v>163</v>
      </c>
      <c r="AC25" s="19" t="s">
        <v>68</v>
      </c>
      <c r="AD25" s="20" t="s">
        <v>168</v>
      </c>
      <c r="AE25" s="21" t="s">
        <v>174</v>
      </c>
      <c r="AF25" s="24" t="s">
        <v>315</v>
      </c>
    </row>
    <row r="26" ht="43.5" customHeight="1">
      <c r="A26" s="17" t="s">
        <v>560</v>
      </c>
      <c r="B26" s="17">
        <v>23.0</v>
      </c>
      <c r="C26" s="17" t="s">
        <v>476</v>
      </c>
      <c r="D26" s="17">
        <v>2.0</v>
      </c>
      <c r="E26" s="17" t="s">
        <v>477</v>
      </c>
      <c r="F26" s="17" t="s">
        <v>86</v>
      </c>
      <c r="G26" s="17">
        <v>7.0</v>
      </c>
      <c r="H26" s="17" t="s">
        <v>123</v>
      </c>
      <c r="I26" s="17" t="s">
        <v>562</v>
      </c>
      <c r="J26" s="17" t="s">
        <v>570</v>
      </c>
      <c r="K26" s="17" t="s">
        <v>572</v>
      </c>
      <c r="L26" s="17" t="s">
        <v>572</v>
      </c>
      <c r="M26" s="17" t="s">
        <v>552</v>
      </c>
      <c r="N26" s="17"/>
      <c r="O26" s="17" t="s">
        <v>249</v>
      </c>
      <c r="P26" s="17" t="s">
        <v>482</v>
      </c>
      <c r="Q26" s="17" t="s">
        <v>483</v>
      </c>
      <c r="R26" s="17" t="s">
        <v>484</v>
      </c>
      <c r="S26" s="17" t="s">
        <v>82</v>
      </c>
      <c r="T26" s="17" t="s">
        <v>576</v>
      </c>
      <c r="U26" s="17" t="s">
        <v>579</v>
      </c>
      <c r="V26" s="17" t="s">
        <v>580</v>
      </c>
      <c r="W26" s="17" t="s">
        <v>209</v>
      </c>
      <c r="X26" s="17" t="s">
        <v>490</v>
      </c>
      <c r="Y26" s="17" t="s">
        <v>491</v>
      </c>
      <c r="Z26" s="17" t="s">
        <v>151</v>
      </c>
      <c r="AA26" s="17" t="s">
        <v>162</v>
      </c>
      <c r="AB26" s="17" t="s">
        <v>163</v>
      </c>
      <c r="AC26" s="19" t="s">
        <v>68</v>
      </c>
      <c r="AD26" s="20" t="s">
        <v>168</v>
      </c>
      <c r="AE26" s="21" t="s">
        <v>174</v>
      </c>
      <c r="AF26" s="24" t="s">
        <v>315</v>
      </c>
    </row>
    <row r="27" ht="43.5" customHeight="1">
      <c r="A27" s="17" t="s">
        <v>583</v>
      </c>
      <c r="B27" s="17">
        <v>24.0</v>
      </c>
      <c r="C27" s="17" t="s">
        <v>476</v>
      </c>
      <c r="D27" s="17">
        <v>2.0</v>
      </c>
      <c r="E27" s="17" t="s">
        <v>477</v>
      </c>
      <c r="F27" s="17" t="s">
        <v>86</v>
      </c>
      <c r="G27" s="17">
        <v>8.0</v>
      </c>
      <c r="H27" s="17" t="s">
        <v>123</v>
      </c>
      <c r="I27" s="17" t="s">
        <v>585</v>
      </c>
      <c r="J27" s="17" t="s">
        <v>587</v>
      </c>
      <c r="K27" s="17" t="s">
        <v>481</v>
      </c>
      <c r="L27" s="17" t="s">
        <v>481</v>
      </c>
      <c r="M27" s="17" t="s">
        <v>572</v>
      </c>
      <c r="N27" s="17"/>
      <c r="O27" s="17" t="s">
        <v>249</v>
      </c>
      <c r="P27" s="17" t="s">
        <v>482</v>
      </c>
      <c r="Q27" s="17" t="s">
        <v>483</v>
      </c>
      <c r="R27" s="17" t="s">
        <v>484</v>
      </c>
      <c r="S27" s="17" t="s">
        <v>82</v>
      </c>
      <c r="T27" s="17" t="s">
        <v>487</v>
      </c>
      <c r="U27" s="17" t="s">
        <v>594</v>
      </c>
      <c r="V27" s="17" t="s">
        <v>489</v>
      </c>
      <c r="W27" s="17" t="s">
        <v>209</v>
      </c>
      <c r="X27" s="17" t="s">
        <v>490</v>
      </c>
      <c r="Y27" s="17" t="s">
        <v>491</v>
      </c>
      <c r="Z27" s="17" t="s">
        <v>151</v>
      </c>
      <c r="AA27" s="17" t="s">
        <v>162</v>
      </c>
      <c r="AB27" s="17" t="s">
        <v>163</v>
      </c>
      <c r="AC27" s="19" t="s">
        <v>68</v>
      </c>
      <c r="AD27" s="20" t="s">
        <v>168</v>
      </c>
      <c r="AE27" s="21" t="s">
        <v>174</v>
      </c>
      <c r="AF27" s="24" t="s">
        <v>315</v>
      </c>
    </row>
    <row r="28" ht="43.5" customHeight="1">
      <c r="A28" s="17" t="s">
        <v>600</v>
      </c>
      <c r="B28" s="17">
        <v>25.0</v>
      </c>
      <c r="C28" s="17" t="s">
        <v>476</v>
      </c>
      <c r="D28" s="17">
        <v>2.0</v>
      </c>
      <c r="E28" s="17" t="s">
        <v>477</v>
      </c>
      <c r="F28" s="17" t="s">
        <v>86</v>
      </c>
      <c r="G28" s="17">
        <v>9.0</v>
      </c>
      <c r="H28" s="17" t="s">
        <v>123</v>
      </c>
      <c r="I28" s="17" t="s">
        <v>606</v>
      </c>
      <c r="J28" s="17" t="s">
        <v>609</v>
      </c>
      <c r="K28" s="17" t="s">
        <v>497</v>
      </c>
      <c r="L28" s="17" t="s">
        <v>497</v>
      </c>
      <c r="M28" s="17" t="s">
        <v>481</v>
      </c>
      <c r="N28" s="17"/>
      <c r="O28" s="17" t="s">
        <v>249</v>
      </c>
      <c r="P28" s="17" t="s">
        <v>482</v>
      </c>
      <c r="Q28" s="17" t="s">
        <v>483</v>
      </c>
      <c r="R28" s="17" t="s">
        <v>484</v>
      </c>
      <c r="S28" s="17" t="s">
        <v>82</v>
      </c>
      <c r="T28" s="17" t="s">
        <v>500</v>
      </c>
      <c r="U28" s="17" t="s">
        <v>616</v>
      </c>
      <c r="V28" s="17" t="s">
        <v>502</v>
      </c>
      <c r="W28" s="17" t="s">
        <v>209</v>
      </c>
      <c r="X28" s="17" t="s">
        <v>490</v>
      </c>
      <c r="Y28" s="17" t="s">
        <v>491</v>
      </c>
      <c r="Z28" s="17" t="s">
        <v>151</v>
      </c>
      <c r="AA28" s="17" t="s">
        <v>162</v>
      </c>
      <c r="AB28" s="17" t="s">
        <v>163</v>
      </c>
      <c r="AC28" s="19" t="s">
        <v>68</v>
      </c>
      <c r="AD28" s="20" t="s">
        <v>168</v>
      </c>
      <c r="AE28" s="21" t="s">
        <v>174</v>
      </c>
      <c r="AF28" s="24" t="s">
        <v>315</v>
      </c>
    </row>
    <row r="29" ht="43.5" customHeight="1">
      <c r="A29" s="17" t="s">
        <v>624</v>
      </c>
      <c r="B29" s="17">
        <v>26.0</v>
      </c>
      <c r="C29" s="17" t="s">
        <v>476</v>
      </c>
      <c r="D29" s="17">
        <v>2.0</v>
      </c>
      <c r="E29" s="17" t="s">
        <v>477</v>
      </c>
      <c r="F29" s="17" t="s">
        <v>86</v>
      </c>
      <c r="G29" s="17">
        <v>11.0</v>
      </c>
      <c r="H29" s="17" t="s">
        <v>370</v>
      </c>
      <c r="I29" s="17" t="s">
        <v>627</v>
      </c>
      <c r="J29" s="17" t="s">
        <v>629</v>
      </c>
      <c r="K29" s="17" t="s">
        <v>630</v>
      </c>
      <c r="L29" s="17" t="s">
        <v>481</v>
      </c>
      <c r="M29" s="17" t="s">
        <v>375</v>
      </c>
      <c r="N29" s="17" t="s">
        <v>376</v>
      </c>
      <c r="O29" s="17" t="s">
        <v>130</v>
      </c>
      <c r="P29" s="17" t="s">
        <v>377</v>
      </c>
      <c r="Q29" s="17" t="s">
        <v>378</v>
      </c>
      <c r="R29" s="17" t="s">
        <v>379</v>
      </c>
      <c r="S29" s="17" t="s">
        <v>82</v>
      </c>
      <c r="T29" s="17" t="s">
        <v>636</v>
      </c>
      <c r="U29" s="17" t="s">
        <v>637</v>
      </c>
      <c r="V29" s="17" t="s">
        <v>640</v>
      </c>
      <c r="W29" s="17" t="s">
        <v>389</v>
      </c>
      <c r="X29" s="17" t="s">
        <v>490</v>
      </c>
      <c r="Y29" s="17" t="s">
        <v>391</v>
      </c>
      <c r="Z29" s="17" t="s">
        <v>151</v>
      </c>
      <c r="AA29" s="17" t="s">
        <v>162</v>
      </c>
      <c r="AB29" s="17" t="s">
        <v>395</v>
      </c>
      <c r="AC29" s="19" t="s">
        <v>68</v>
      </c>
      <c r="AD29" s="20" t="s">
        <v>168</v>
      </c>
      <c r="AE29" s="21" t="s">
        <v>174</v>
      </c>
      <c r="AF29" s="22" t="s">
        <v>182</v>
      </c>
    </row>
    <row r="30" ht="43.5" customHeight="1">
      <c r="A30" s="17" t="s">
        <v>646</v>
      </c>
      <c r="B30" s="17">
        <v>27.0</v>
      </c>
      <c r="C30" s="17" t="s">
        <v>476</v>
      </c>
      <c r="D30" s="17">
        <v>2.0</v>
      </c>
      <c r="E30" s="17" t="s">
        <v>477</v>
      </c>
      <c r="F30" s="17" t="s">
        <v>86</v>
      </c>
      <c r="G30" s="17">
        <v>10.0</v>
      </c>
      <c r="H30" s="17" t="s">
        <v>123</v>
      </c>
      <c r="I30" s="17" t="s">
        <v>652</v>
      </c>
      <c r="J30" s="17" t="s">
        <v>654</v>
      </c>
      <c r="K30" s="17" t="s">
        <v>508</v>
      </c>
      <c r="L30" s="17" t="s">
        <v>508</v>
      </c>
      <c r="M30" s="17" t="s">
        <v>497</v>
      </c>
      <c r="N30" s="17"/>
      <c r="O30" s="17" t="s">
        <v>249</v>
      </c>
      <c r="P30" s="17" t="s">
        <v>482</v>
      </c>
      <c r="Q30" s="17" t="s">
        <v>483</v>
      </c>
      <c r="R30" s="17" t="s">
        <v>484</v>
      </c>
      <c r="S30" s="17" t="s">
        <v>82</v>
      </c>
      <c r="T30" s="17" t="s">
        <v>511</v>
      </c>
      <c r="U30" s="17" t="s">
        <v>656</v>
      </c>
      <c r="V30" s="17" t="s">
        <v>513</v>
      </c>
      <c r="W30" s="17" t="s">
        <v>417</v>
      </c>
      <c r="X30" s="17" t="s">
        <v>490</v>
      </c>
      <c r="Y30" s="17" t="s">
        <v>491</v>
      </c>
      <c r="Z30" s="17" t="s">
        <v>151</v>
      </c>
      <c r="AA30" s="17" t="s">
        <v>162</v>
      </c>
      <c r="AB30" s="17" t="s">
        <v>163</v>
      </c>
      <c r="AC30" s="19" t="s">
        <v>68</v>
      </c>
      <c r="AD30" s="20" t="s">
        <v>168</v>
      </c>
      <c r="AE30" s="21" t="s">
        <v>174</v>
      </c>
      <c r="AF30" s="24" t="s">
        <v>315</v>
      </c>
    </row>
    <row r="31" ht="43.5" customHeight="1">
      <c r="A31" s="17" t="s">
        <v>663</v>
      </c>
      <c r="B31" s="17">
        <v>28.0</v>
      </c>
      <c r="C31" s="17" t="s">
        <v>476</v>
      </c>
      <c r="D31" s="17">
        <v>2.0</v>
      </c>
      <c r="E31" s="17" t="s">
        <v>477</v>
      </c>
      <c r="F31" s="17" t="s">
        <v>86</v>
      </c>
      <c r="G31" s="17">
        <v>11.0</v>
      </c>
      <c r="H31" s="17" t="s">
        <v>123</v>
      </c>
      <c r="I31" s="17" t="s">
        <v>665</v>
      </c>
      <c r="J31" s="17" t="s">
        <v>666</v>
      </c>
      <c r="K31" s="17" t="s">
        <v>534</v>
      </c>
      <c r="L31" s="17" t="s">
        <v>534</v>
      </c>
      <c r="M31" s="17" t="s">
        <v>508</v>
      </c>
      <c r="N31" s="17"/>
      <c r="O31" s="17" t="s">
        <v>249</v>
      </c>
      <c r="P31" s="17" t="s">
        <v>482</v>
      </c>
      <c r="Q31" s="17" t="s">
        <v>483</v>
      </c>
      <c r="R31" s="17" t="s">
        <v>484</v>
      </c>
      <c r="S31" s="17" t="s">
        <v>82</v>
      </c>
      <c r="T31" s="17" t="s">
        <v>536</v>
      </c>
      <c r="U31" s="17" t="s">
        <v>669</v>
      </c>
      <c r="V31" s="17" t="s">
        <v>538</v>
      </c>
      <c r="W31" s="17" t="s">
        <v>437</v>
      </c>
      <c r="X31" s="17" t="s">
        <v>490</v>
      </c>
      <c r="Y31" s="17" t="s">
        <v>491</v>
      </c>
      <c r="Z31" s="17" t="s">
        <v>151</v>
      </c>
      <c r="AA31" s="17" t="s">
        <v>162</v>
      </c>
      <c r="AB31" s="17" t="s">
        <v>163</v>
      </c>
      <c r="AC31" s="19" t="s">
        <v>68</v>
      </c>
      <c r="AD31" s="20" t="s">
        <v>168</v>
      </c>
      <c r="AE31" s="21" t="s">
        <v>174</v>
      </c>
      <c r="AF31" s="22" t="s">
        <v>182</v>
      </c>
    </row>
    <row r="32" ht="43.5" customHeight="1">
      <c r="A32" s="17" t="s">
        <v>673</v>
      </c>
      <c r="B32" s="17">
        <v>29.0</v>
      </c>
      <c r="C32" s="17" t="s">
        <v>476</v>
      </c>
      <c r="D32" s="17">
        <v>2.0</v>
      </c>
      <c r="E32" s="17" t="s">
        <v>477</v>
      </c>
      <c r="F32" s="17" t="s">
        <v>86</v>
      </c>
      <c r="G32" s="17">
        <v>12.0</v>
      </c>
      <c r="H32" s="17" t="s">
        <v>123</v>
      </c>
      <c r="I32" s="17" t="s">
        <v>676</v>
      </c>
      <c r="J32" s="17" t="s">
        <v>677</v>
      </c>
      <c r="K32" s="17" t="s">
        <v>543</v>
      </c>
      <c r="L32" s="17" t="s">
        <v>543</v>
      </c>
      <c r="M32" s="17" t="s">
        <v>534</v>
      </c>
      <c r="N32" s="17"/>
      <c r="O32" s="17" t="s">
        <v>249</v>
      </c>
      <c r="P32" s="17" t="s">
        <v>482</v>
      </c>
      <c r="Q32" s="17" t="s">
        <v>483</v>
      </c>
      <c r="R32" s="17" t="s">
        <v>484</v>
      </c>
      <c r="S32" s="17" t="s">
        <v>82</v>
      </c>
      <c r="T32" s="17" t="s">
        <v>544</v>
      </c>
      <c r="U32" s="17" t="s">
        <v>680</v>
      </c>
      <c r="V32" s="17" t="s">
        <v>547</v>
      </c>
      <c r="W32" s="17" t="s">
        <v>452</v>
      </c>
      <c r="X32" s="17" t="s">
        <v>490</v>
      </c>
      <c r="Y32" s="17" t="s">
        <v>491</v>
      </c>
      <c r="Z32" s="17" t="s">
        <v>151</v>
      </c>
      <c r="AA32" s="17" t="s">
        <v>162</v>
      </c>
      <c r="AB32" s="17" t="s">
        <v>163</v>
      </c>
      <c r="AC32" s="19" t="s">
        <v>68</v>
      </c>
      <c r="AD32" s="20" t="s">
        <v>168</v>
      </c>
      <c r="AE32" s="21" t="s">
        <v>174</v>
      </c>
      <c r="AF32" s="22" t="s">
        <v>182</v>
      </c>
    </row>
    <row r="33" ht="43.5" customHeight="1">
      <c r="A33" s="17" t="s">
        <v>682</v>
      </c>
      <c r="B33" s="17">
        <v>30.0</v>
      </c>
      <c r="C33" s="17" t="s">
        <v>476</v>
      </c>
      <c r="D33" s="17">
        <v>2.0</v>
      </c>
      <c r="E33" s="17" t="s">
        <v>477</v>
      </c>
      <c r="F33" s="17" t="s">
        <v>86</v>
      </c>
      <c r="G33" s="17">
        <v>15.0</v>
      </c>
      <c r="H33" s="17" t="s">
        <v>460</v>
      </c>
      <c r="I33" s="17" t="s">
        <v>684</v>
      </c>
      <c r="J33" s="17" t="s">
        <v>462</v>
      </c>
      <c r="K33" s="17" t="s">
        <v>463</v>
      </c>
      <c r="L33" s="17" t="s">
        <v>464</v>
      </c>
      <c r="M33" s="17" t="s">
        <v>465</v>
      </c>
      <c r="N33" s="17" t="s">
        <v>466</v>
      </c>
      <c r="O33" s="17" t="s">
        <v>130</v>
      </c>
      <c r="P33" s="17" t="s">
        <v>133</v>
      </c>
      <c r="Q33" s="17" t="s">
        <v>467</v>
      </c>
      <c r="R33" s="17" t="s">
        <v>379</v>
      </c>
      <c r="S33" s="17" t="s">
        <v>82</v>
      </c>
      <c r="T33" s="17" t="s">
        <v>469</v>
      </c>
      <c r="U33" s="17" t="s">
        <v>680</v>
      </c>
      <c r="V33" s="17" t="s">
        <v>470</v>
      </c>
      <c r="W33" s="17" t="s">
        <v>471</v>
      </c>
      <c r="X33" s="17" t="s">
        <v>490</v>
      </c>
      <c r="Y33" s="17" t="s">
        <v>472</v>
      </c>
      <c r="Z33" s="17" t="s">
        <v>151</v>
      </c>
      <c r="AA33" s="17" t="s">
        <v>162</v>
      </c>
      <c r="AB33" s="17" t="s">
        <v>473</v>
      </c>
      <c r="AC33" s="19" t="s">
        <v>68</v>
      </c>
      <c r="AD33" s="20" t="s">
        <v>168</v>
      </c>
      <c r="AE33" s="21" t="s">
        <v>174</v>
      </c>
      <c r="AF33" s="24" t="s">
        <v>315</v>
      </c>
    </row>
    <row r="34" ht="43.5" customHeight="1">
      <c r="A34" s="17" t="s">
        <v>689</v>
      </c>
      <c r="B34" s="17">
        <v>31.0</v>
      </c>
      <c r="C34" s="17" t="s">
        <v>690</v>
      </c>
      <c r="D34" s="17">
        <v>3.0</v>
      </c>
      <c r="E34" s="17" t="s">
        <v>692</v>
      </c>
      <c r="F34" s="17" t="s">
        <v>225</v>
      </c>
      <c r="G34" s="17">
        <v>1.0</v>
      </c>
      <c r="H34" s="17" t="s">
        <v>123</v>
      </c>
      <c r="I34" s="17" t="s">
        <v>694</v>
      </c>
      <c r="J34" s="17" t="s">
        <v>695</v>
      </c>
      <c r="K34" s="17" t="s">
        <v>696</v>
      </c>
      <c r="L34" s="17" t="s">
        <v>696</v>
      </c>
      <c r="M34" s="17" t="s">
        <v>128</v>
      </c>
      <c r="N34" s="17"/>
      <c r="O34" s="17" t="s">
        <v>249</v>
      </c>
      <c r="P34" s="17" t="s">
        <v>593</v>
      </c>
      <c r="Q34" s="17" t="s">
        <v>698</v>
      </c>
      <c r="R34" s="17" t="s">
        <v>699</v>
      </c>
      <c r="S34" s="17" t="s">
        <v>232</v>
      </c>
      <c r="T34" s="17" t="s">
        <v>700</v>
      </c>
      <c r="U34" s="17" t="s">
        <v>701</v>
      </c>
      <c r="V34" s="17" t="s">
        <v>702</v>
      </c>
      <c r="W34" s="17" t="s">
        <v>145</v>
      </c>
      <c r="X34" s="17" t="s">
        <v>703</v>
      </c>
      <c r="Y34" s="17" t="s">
        <v>704</v>
      </c>
      <c r="Z34" s="17" t="s">
        <v>151</v>
      </c>
      <c r="AA34" s="17" t="s">
        <v>162</v>
      </c>
      <c r="AB34" s="17" t="s">
        <v>163</v>
      </c>
      <c r="AC34" s="19" t="s">
        <v>68</v>
      </c>
      <c r="AD34" s="20" t="s">
        <v>168</v>
      </c>
      <c r="AE34" s="21" t="s">
        <v>174</v>
      </c>
      <c r="AF34" s="22" t="s">
        <v>182</v>
      </c>
    </row>
    <row r="35" ht="43.5" customHeight="1">
      <c r="A35" s="17" t="s">
        <v>705</v>
      </c>
      <c r="B35" s="17">
        <v>32.0</v>
      </c>
      <c r="C35" s="17" t="s">
        <v>690</v>
      </c>
      <c r="D35" s="17">
        <v>3.0</v>
      </c>
      <c r="E35" s="17" t="s">
        <v>692</v>
      </c>
      <c r="F35" s="17" t="s">
        <v>225</v>
      </c>
      <c r="G35" s="17">
        <v>2.0</v>
      </c>
      <c r="H35" s="17" t="s">
        <v>123</v>
      </c>
      <c r="I35" s="17" t="s">
        <v>709</v>
      </c>
      <c r="J35" s="17" t="s">
        <v>710</v>
      </c>
      <c r="K35" s="17" t="s">
        <v>711</v>
      </c>
      <c r="L35" s="17" t="s">
        <v>711</v>
      </c>
      <c r="M35" s="17" t="s">
        <v>696</v>
      </c>
      <c r="N35" s="17"/>
      <c r="O35" s="17" t="s">
        <v>249</v>
      </c>
      <c r="P35" s="17" t="s">
        <v>593</v>
      </c>
      <c r="Q35" s="17" t="s">
        <v>698</v>
      </c>
      <c r="R35" s="17" t="s">
        <v>699</v>
      </c>
      <c r="S35" s="17" t="s">
        <v>232</v>
      </c>
      <c r="T35" s="17" t="s">
        <v>713</v>
      </c>
      <c r="U35" s="17" t="s">
        <v>714</v>
      </c>
      <c r="V35" s="17" t="s">
        <v>715</v>
      </c>
      <c r="W35" s="17" t="s">
        <v>209</v>
      </c>
      <c r="X35" s="17" t="s">
        <v>703</v>
      </c>
      <c r="Y35" s="17" t="s">
        <v>704</v>
      </c>
      <c r="Z35" s="17" t="s">
        <v>151</v>
      </c>
      <c r="AA35" s="17" t="s">
        <v>162</v>
      </c>
      <c r="AB35" s="17" t="s">
        <v>163</v>
      </c>
      <c r="AC35" s="19" t="s">
        <v>68</v>
      </c>
      <c r="AD35" s="20" t="s">
        <v>168</v>
      </c>
      <c r="AE35" s="21" t="s">
        <v>174</v>
      </c>
      <c r="AF35" s="22" t="s">
        <v>182</v>
      </c>
    </row>
    <row r="36" ht="43.5" customHeight="1">
      <c r="A36" s="17" t="s">
        <v>717</v>
      </c>
      <c r="B36" s="17">
        <v>33.0</v>
      </c>
      <c r="C36" s="17" t="s">
        <v>690</v>
      </c>
      <c r="D36" s="17">
        <v>3.0</v>
      </c>
      <c r="E36" s="17" t="s">
        <v>692</v>
      </c>
      <c r="F36" s="17" t="s">
        <v>225</v>
      </c>
      <c r="G36" s="17">
        <v>3.0</v>
      </c>
      <c r="H36" s="17" t="s">
        <v>123</v>
      </c>
      <c r="I36" s="17" t="s">
        <v>720</v>
      </c>
      <c r="J36" s="17" t="s">
        <v>721</v>
      </c>
      <c r="K36" s="17" t="s">
        <v>722</v>
      </c>
      <c r="L36" s="17" t="s">
        <v>722</v>
      </c>
      <c r="M36" s="17" t="s">
        <v>711</v>
      </c>
      <c r="N36" s="17"/>
      <c r="O36" s="17" t="s">
        <v>249</v>
      </c>
      <c r="P36" s="17" t="s">
        <v>593</v>
      </c>
      <c r="Q36" s="17" t="s">
        <v>698</v>
      </c>
      <c r="R36" s="17" t="s">
        <v>699</v>
      </c>
      <c r="S36" s="17" t="s">
        <v>232</v>
      </c>
      <c r="T36" s="17" t="s">
        <v>724</v>
      </c>
      <c r="U36" s="17" t="s">
        <v>725</v>
      </c>
      <c r="V36" s="17" t="s">
        <v>726</v>
      </c>
      <c r="W36" s="17" t="s">
        <v>209</v>
      </c>
      <c r="X36" s="17" t="s">
        <v>703</v>
      </c>
      <c r="Y36" s="17" t="s">
        <v>704</v>
      </c>
      <c r="Z36" s="17" t="s">
        <v>151</v>
      </c>
      <c r="AA36" s="17" t="s">
        <v>162</v>
      </c>
      <c r="AB36" s="17" t="s">
        <v>163</v>
      </c>
      <c r="AC36" s="19" t="s">
        <v>68</v>
      </c>
      <c r="AD36" s="20" t="s">
        <v>168</v>
      </c>
      <c r="AE36" s="21" t="s">
        <v>174</v>
      </c>
      <c r="AF36" s="22" t="s">
        <v>182</v>
      </c>
    </row>
    <row r="37" ht="43.5" customHeight="1">
      <c r="A37" s="17" t="s">
        <v>730</v>
      </c>
      <c r="B37" s="17">
        <v>34.0</v>
      </c>
      <c r="C37" s="17" t="s">
        <v>690</v>
      </c>
      <c r="D37" s="17">
        <v>3.0</v>
      </c>
      <c r="E37" s="17" t="s">
        <v>692</v>
      </c>
      <c r="F37" s="17" t="s">
        <v>225</v>
      </c>
      <c r="G37" s="17">
        <v>4.0</v>
      </c>
      <c r="H37" s="17" t="s">
        <v>240</v>
      </c>
      <c r="I37" s="17" t="s">
        <v>732</v>
      </c>
      <c r="J37" s="17" t="s">
        <v>236</v>
      </c>
      <c r="K37" s="17" t="s">
        <v>237</v>
      </c>
      <c r="L37" s="17" t="s">
        <v>237</v>
      </c>
      <c r="M37" s="17" t="s">
        <v>733</v>
      </c>
      <c r="N37" s="17" t="s">
        <v>234</v>
      </c>
      <c r="O37" s="17" t="s">
        <v>249</v>
      </c>
      <c r="P37" s="17" t="s">
        <v>252</v>
      </c>
      <c r="Q37" s="17" t="s">
        <v>239</v>
      </c>
      <c r="R37" s="17" t="s">
        <v>699</v>
      </c>
      <c r="S37" s="17" t="s">
        <v>232</v>
      </c>
      <c r="T37" s="17" t="s">
        <v>735</v>
      </c>
      <c r="U37" s="17" t="s">
        <v>736</v>
      </c>
      <c r="V37" s="17" t="s">
        <v>737</v>
      </c>
      <c r="W37" s="17" t="s">
        <v>260</v>
      </c>
      <c r="X37" s="17" t="s">
        <v>703</v>
      </c>
      <c r="Y37" s="17" t="s">
        <v>261</v>
      </c>
      <c r="Z37" s="17" t="s">
        <v>151</v>
      </c>
      <c r="AA37" s="17" t="s">
        <v>162</v>
      </c>
      <c r="AB37" s="17" t="s">
        <v>739</v>
      </c>
      <c r="AC37" s="19" t="s">
        <v>68</v>
      </c>
      <c r="AD37" s="20" t="s">
        <v>168</v>
      </c>
      <c r="AE37" s="21" t="s">
        <v>174</v>
      </c>
      <c r="AF37" s="23" t="s">
        <v>272</v>
      </c>
    </row>
    <row r="38" ht="43.5" customHeight="1">
      <c r="A38" s="17" t="s">
        <v>740</v>
      </c>
      <c r="B38" s="17">
        <v>35.0</v>
      </c>
      <c r="C38" s="17" t="s">
        <v>690</v>
      </c>
      <c r="D38" s="17">
        <v>3.0</v>
      </c>
      <c r="E38" s="17" t="s">
        <v>692</v>
      </c>
      <c r="F38" s="17" t="s">
        <v>225</v>
      </c>
      <c r="G38" s="17">
        <v>4.0</v>
      </c>
      <c r="H38" s="17" t="s">
        <v>123</v>
      </c>
      <c r="I38" s="17" t="s">
        <v>744</v>
      </c>
      <c r="J38" s="17" t="s">
        <v>745</v>
      </c>
      <c r="K38" s="17" t="s">
        <v>747</v>
      </c>
      <c r="L38" s="17" t="s">
        <v>747</v>
      </c>
      <c r="M38" s="17" t="s">
        <v>722</v>
      </c>
      <c r="N38" s="17"/>
      <c r="O38" s="17" t="s">
        <v>249</v>
      </c>
      <c r="P38" s="17" t="s">
        <v>593</v>
      </c>
      <c r="Q38" s="17" t="s">
        <v>698</v>
      </c>
      <c r="R38" s="17" t="s">
        <v>699</v>
      </c>
      <c r="S38" s="17" t="s">
        <v>232</v>
      </c>
      <c r="T38" s="17" t="s">
        <v>753</v>
      </c>
      <c r="U38" s="17" t="s">
        <v>755</v>
      </c>
      <c r="V38" s="17" t="s">
        <v>757</v>
      </c>
      <c r="W38" s="17" t="s">
        <v>209</v>
      </c>
      <c r="X38" s="17" t="s">
        <v>703</v>
      </c>
      <c r="Y38" s="17" t="s">
        <v>704</v>
      </c>
      <c r="Z38" s="17" t="s">
        <v>151</v>
      </c>
      <c r="AA38" s="17" t="s">
        <v>162</v>
      </c>
      <c r="AB38" s="17" t="s">
        <v>163</v>
      </c>
      <c r="AC38" s="19" t="s">
        <v>68</v>
      </c>
      <c r="AD38" s="20" t="s">
        <v>168</v>
      </c>
      <c r="AE38" s="21" t="s">
        <v>174</v>
      </c>
      <c r="AF38" s="22" t="s">
        <v>182</v>
      </c>
    </row>
    <row r="39" ht="43.5" customHeight="1">
      <c r="A39" s="17" t="s">
        <v>761</v>
      </c>
      <c r="B39" s="17">
        <v>36.0</v>
      </c>
      <c r="C39" s="17" t="s">
        <v>690</v>
      </c>
      <c r="D39" s="17">
        <v>3.0</v>
      </c>
      <c r="E39" s="17" t="s">
        <v>692</v>
      </c>
      <c r="F39" s="17" t="s">
        <v>225</v>
      </c>
      <c r="G39" s="17">
        <v>5.0</v>
      </c>
      <c r="H39" s="17" t="s">
        <v>123</v>
      </c>
      <c r="I39" s="17" t="s">
        <v>763</v>
      </c>
      <c r="J39" s="17" t="s">
        <v>765</v>
      </c>
      <c r="K39" s="17" t="s">
        <v>767</v>
      </c>
      <c r="L39" s="17" t="s">
        <v>767</v>
      </c>
      <c r="M39" s="17" t="s">
        <v>747</v>
      </c>
      <c r="N39" s="17"/>
      <c r="O39" s="17" t="s">
        <v>249</v>
      </c>
      <c r="P39" s="17" t="s">
        <v>593</v>
      </c>
      <c r="Q39" s="17" t="s">
        <v>698</v>
      </c>
      <c r="R39" s="17" t="s">
        <v>699</v>
      </c>
      <c r="S39" s="17" t="s">
        <v>232</v>
      </c>
      <c r="T39" s="17" t="s">
        <v>771</v>
      </c>
      <c r="U39" s="17" t="s">
        <v>772</v>
      </c>
      <c r="V39" s="17" t="s">
        <v>773</v>
      </c>
      <c r="W39" s="17" t="s">
        <v>145</v>
      </c>
      <c r="X39" s="17" t="s">
        <v>703</v>
      </c>
      <c r="Y39" s="17" t="s">
        <v>704</v>
      </c>
      <c r="Z39" s="17" t="s">
        <v>151</v>
      </c>
      <c r="AA39" s="17" t="s">
        <v>162</v>
      </c>
      <c r="AB39" s="17" t="s">
        <v>163</v>
      </c>
      <c r="AC39" s="19" t="s">
        <v>68</v>
      </c>
      <c r="AD39" s="20" t="s">
        <v>168</v>
      </c>
      <c r="AE39" s="21" t="s">
        <v>174</v>
      </c>
      <c r="AF39" s="22" t="s">
        <v>182</v>
      </c>
    </row>
    <row r="40" ht="43.5" customHeight="1">
      <c r="A40" s="17" t="s">
        <v>775</v>
      </c>
      <c r="B40" s="17">
        <v>37.0</v>
      </c>
      <c r="C40" s="17" t="s">
        <v>690</v>
      </c>
      <c r="D40" s="17">
        <v>3.0</v>
      </c>
      <c r="E40" s="17" t="s">
        <v>692</v>
      </c>
      <c r="F40" s="17" t="s">
        <v>225</v>
      </c>
      <c r="G40" s="17">
        <v>6.0</v>
      </c>
      <c r="H40" s="17" t="s">
        <v>123</v>
      </c>
      <c r="I40" s="17" t="s">
        <v>777</v>
      </c>
      <c r="J40" s="17" t="s">
        <v>778</v>
      </c>
      <c r="K40" s="17" t="s">
        <v>779</v>
      </c>
      <c r="L40" s="17" t="s">
        <v>779</v>
      </c>
      <c r="M40" s="17" t="s">
        <v>767</v>
      </c>
      <c r="N40" s="17"/>
      <c r="O40" s="17" t="s">
        <v>249</v>
      </c>
      <c r="P40" s="17" t="s">
        <v>593</v>
      </c>
      <c r="Q40" s="17" t="s">
        <v>698</v>
      </c>
      <c r="R40" s="17" t="s">
        <v>699</v>
      </c>
      <c r="S40" s="17" t="s">
        <v>232</v>
      </c>
      <c r="T40" s="17" t="s">
        <v>780</v>
      </c>
      <c r="U40" s="17" t="s">
        <v>781</v>
      </c>
      <c r="V40" s="17" t="s">
        <v>782</v>
      </c>
      <c r="W40" s="17" t="s">
        <v>209</v>
      </c>
      <c r="X40" s="17" t="s">
        <v>703</v>
      </c>
      <c r="Y40" s="17" t="s">
        <v>704</v>
      </c>
      <c r="Z40" s="17" t="s">
        <v>151</v>
      </c>
      <c r="AA40" s="17" t="s">
        <v>162</v>
      </c>
      <c r="AB40" s="17" t="s">
        <v>163</v>
      </c>
      <c r="AC40" s="19" t="s">
        <v>68</v>
      </c>
      <c r="AD40" s="20" t="s">
        <v>168</v>
      </c>
      <c r="AE40" s="21" t="s">
        <v>174</v>
      </c>
      <c r="AF40" s="24" t="s">
        <v>315</v>
      </c>
    </row>
    <row r="41" ht="43.5" customHeight="1">
      <c r="A41" s="17" t="s">
        <v>785</v>
      </c>
      <c r="B41" s="17">
        <v>38.0</v>
      </c>
      <c r="C41" s="17" t="s">
        <v>690</v>
      </c>
      <c r="D41" s="17">
        <v>3.0</v>
      </c>
      <c r="E41" s="17" t="s">
        <v>692</v>
      </c>
      <c r="F41" s="17" t="s">
        <v>225</v>
      </c>
      <c r="G41" s="17">
        <v>7.0</v>
      </c>
      <c r="H41" s="17" t="s">
        <v>123</v>
      </c>
      <c r="I41" s="17" t="s">
        <v>789</v>
      </c>
      <c r="J41" s="17" t="s">
        <v>790</v>
      </c>
      <c r="K41" s="17" t="s">
        <v>696</v>
      </c>
      <c r="L41" s="17" t="s">
        <v>696</v>
      </c>
      <c r="M41" s="17" t="s">
        <v>779</v>
      </c>
      <c r="N41" s="17"/>
      <c r="O41" s="17" t="s">
        <v>249</v>
      </c>
      <c r="P41" s="17" t="s">
        <v>593</v>
      </c>
      <c r="Q41" s="17" t="s">
        <v>698</v>
      </c>
      <c r="R41" s="17" t="s">
        <v>699</v>
      </c>
      <c r="S41" s="17" t="s">
        <v>232</v>
      </c>
      <c r="T41" s="17" t="s">
        <v>700</v>
      </c>
      <c r="U41" s="17" t="s">
        <v>794</v>
      </c>
      <c r="V41" s="17" t="s">
        <v>702</v>
      </c>
      <c r="W41" s="17" t="s">
        <v>209</v>
      </c>
      <c r="X41" s="17" t="s">
        <v>703</v>
      </c>
      <c r="Y41" s="17" t="s">
        <v>704</v>
      </c>
      <c r="Z41" s="17" t="s">
        <v>151</v>
      </c>
      <c r="AA41" s="17" t="s">
        <v>162</v>
      </c>
      <c r="AB41" s="17" t="s">
        <v>163</v>
      </c>
      <c r="AC41" s="19" t="s">
        <v>68</v>
      </c>
      <c r="AD41" s="20" t="s">
        <v>168</v>
      </c>
      <c r="AE41" s="21" t="s">
        <v>174</v>
      </c>
      <c r="AF41" s="24" t="s">
        <v>315</v>
      </c>
    </row>
    <row r="42" ht="43.5" customHeight="1">
      <c r="A42" s="17" t="s">
        <v>799</v>
      </c>
      <c r="B42" s="17">
        <v>39.0</v>
      </c>
      <c r="C42" s="17" t="s">
        <v>690</v>
      </c>
      <c r="D42" s="17">
        <v>3.0</v>
      </c>
      <c r="E42" s="17" t="s">
        <v>692</v>
      </c>
      <c r="F42" s="17" t="s">
        <v>225</v>
      </c>
      <c r="G42" s="17">
        <v>8.0</v>
      </c>
      <c r="H42" s="17" t="s">
        <v>123</v>
      </c>
      <c r="I42" s="17" t="s">
        <v>803</v>
      </c>
      <c r="J42" s="17" t="s">
        <v>804</v>
      </c>
      <c r="K42" s="17" t="s">
        <v>711</v>
      </c>
      <c r="L42" s="17" t="s">
        <v>711</v>
      </c>
      <c r="M42" s="17" t="s">
        <v>696</v>
      </c>
      <c r="N42" s="17"/>
      <c r="O42" s="17" t="s">
        <v>249</v>
      </c>
      <c r="P42" s="17" t="s">
        <v>593</v>
      </c>
      <c r="Q42" s="17" t="s">
        <v>698</v>
      </c>
      <c r="R42" s="17" t="s">
        <v>699</v>
      </c>
      <c r="S42" s="17" t="s">
        <v>232</v>
      </c>
      <c r="T42" s="17" t="s">
        <v>713</v>
      </c>
      <c r="U42" s="17" t="s">
        <v>806</v>
      </c>
      <c r="V42" s="17" t="s">
        <v>715</v>
      </c>
      <c r="W42" s="17" t="s">
        <v>209</v>
      </c>
      <c r="X42" s="17" t="s">
        <v>703</v>
      </c>
      <c r="Y42" s="17" t="s">
        <v>704</v>
      </c>
      <c r="Z42" s="17" t="s">
        <v>151</v>
      </c>
      <c r="AA42" s="17" t="s">
        <v>162</v>
      </c>
      <c r="AB42" s="17" t="s">
        <v>163</v>
      </c>
      <c r="AC42" s="19" t="s">
        <v>68</v>
      </c>
      <c r="AD42" s="20" t="s">
        <v>168</v>
      </c>
      <c r="AE42" s="21" t="s">
        <v>174</v>
      </c>
      <c r="AF42" s="24" t="s">
        <v>315</v>
      </c>
    </row>
    <row r="43" ht="43.5" customHeight="1">
      <c r="A43" s="17" t="s">
        <v>810</v>
      </c>
      <c r="B43" s="17">
        <v>40.0</v>
      </c>
      <c r="C43" s="17" t="s">
        <v>690</v>
      </c>
      <c r="D43" s="17">
        <v>3.0</v>
      </c>
      <c r="E43" s="17" t="s">
        <v>692</v>
      </c>
      <c r="F43" s="17" t="s">
        <v>225</v>
      </c>
      <c r="G43" s="17">
        <v>9.0</v>
      </c>
      <c r="H43" s="17" t="s">
        <v>123</v>
      </c>
      <c r="I43" s="17" t="s">
        <v>814</v>
      </c>
      <c r="J43" s="17" t="s">
        <v>815</v>
      </c>
      <c r="K43" s="17" t="s">
        <v>722</v>
      </c>
      <c r="L43" s="17" t="s">
        <v>722</v>
      </c>
      <c r="M43" s="17" t="s">
        <v>711</v>
      </c>
      <c r="N43" s="17"/>
      <c r="O43" s="17" t="s">
        <v>249</v>
      </c>
      <c r="P43" s="17" t="s">
        <v>593</v>
      </c>
      <c r="Q43" s="17" t="s">
        <v>698</v>
      </c>
      <c r="R43" s="17" t="s">
        <v>699</v>
      </c>
      <c r="S43" s="17" t="s">
        <v>232</v>
      </c>
      <c r="T43" s="17" t="s">
        <v>724</v>
      </c>
      <c r="U43" s="17" t="s">
        <v>818</v>
      </c>
      <c r="V43" s="17" t="s">
        <v>726</v>
      </c>
      <c r="W43" s="17" t="s">
        <v>209</v>
      </c>
      <c r="X43" s="17" t="s">
        <v>703</v>
      </c>
      <c r="Y43" s="17" t="s">
        <v>704</v>
      </c>
      <c r="Z43" s="17" t="s">
        <v>151</v>
      </c>
      <c r="AA43" s="17" t="s">
        <v>162</v>
      </c>
      <c r="AB43" s="17" t="s">
        <v>163</v>
      </c>
      <c r="AC43" s="19" t="s">
        <v>68</v>
      </c>
      <c r="AD43" s="20" t="s">
        <v>168</v>
      </c>
      <c r="AE43" s="21" t="s">
        <v>174</v>
      </c>
      <c r="AF43" s="24" t="s">
        <v>315</v>
      </c>
    </row>
    <row r="44" ht="43.5" customHeight="1">
      <c r="A44" s="17" t="s">
        <v>823</v>
      </c>
      <c r="B44" s="17">
        <v>41.0</v>
      </c>
      <c r="C44" s="17" t="s">
        <v>690</v>
      </c>
      <c r="D44" s="17">
        <v>3.0</v>
      </c>
      <c r="E44" s="17" t="s">
        <v>692</v>
      </c>
      <c r="F44" s="17" t="s">
        <v>225</v>
      </c>
      <c r="G44" s="17">
        <v>11.0</v>
      </c>
      <c r="H44" s="17" t="s">
        <v>370</v>
      </c>
      <c r="I44" s="17" t="s">
        <v>825</v>
      </c>
      <c r="J44" s="17" t="s">
        <v>826</v>
      </c>
      <c r="K44" s="17" t="s">
        <v>827</v>
      </c>
      <c r="L44" s="17" t="s">
        <v>696</v>
      </c>
      <c r="M44" s="17" t="s">
        <v>375</v>
      </c>
      <c r="N44" s="17" t="s">
        <v>376</v>
      </c>
      <c r="O44" s="17" t="s">
        <v>130</v>
      </c>
      <c r="P44" s="17" t="s">
        <v>377</v>
      </c>
      <c r="Q44" s="17" t="s">
        <v>378</v>
      </c>
      <c r="R44" s="17" t="s">
        <v>379</v>
      </c>
      <c r="S44" s="17" t="s">
        <v>232</v>
      </c>
      <c r="T44" s="17" t="s">
        <v>830</v>
      </c>
      <c r="U44" s="17" t="s">
        <v>832</v>
      </c>
      <c r="V44" s="17" t="s">
        <v>833</v>
      </c>
      <c r="W44" s="17" t="s">
        <v>389</v>
      </c>
      <c r="X44" s="17" t="s">
        <v>703</v>
      </c>
      <c r="Y44" s="17" t="s">
        <v>391</v>
      </c>
      <c r="Z44" s="17" t="s">
        <v>151</v>
      </c>
      <c r="AA44" s="17" t="s">
        <v>162</v>
      </c>
      <c r="AB44" s="17" t="s">
        <v>395</v>
      </c>
      <c r="AC44" s="19" t="s">
        <v>68</v>
      </c>
      <c r="AD44" s="20" t="s">
        <v>168</v>
      </c>
      <c r="AE44" s="21" t="s">
        <v>174</v>
      </c>
      <c r="AF44" s="22" t="s">
        <v>182</v>
      </c>
    </row>
    <row r="45" ht="43.5" customHeight="1">
      <c r="A45" s="17" t="s">
        <v>837</v>
      </c>
      <c r="B45" s="17">
        <v>42.0</v>
      </c>
      <c r="C45" s="17" t="s">
        <v>690</v>
      </c>
      <c r="D45" s="17">
        <v>3.0</v>
      </c>
      <c r="E45" s="17" t="s">
        <v>692</v>
      </c>
      <c r="F45" s="17" t="s">
        <v>225</v>
      </c>
      <c r="G45" s="17">
        <v>10.0</v>
      </c>
      <c r="H45" s="17" t="s">
        <v>123</v>
      </c>
      <c r="I45" s="17" t="s">
        <v>839</v>
      </c>
      <c r="J45" s="17" t="s">
        <v>840</v>
      </c>
      <c r="K45" s="17" t="s">
        <v>747</v>
      </c>
      <c r="L45" s="17" t="s">
        <v>747</v>
      </c>
      <c r="M45" s="17" t="s">
        <v>722</v>
      </c>
      <c r="N45" s="17"/>
      <c r="O45" s="17" t="s">
        <v>249</v>
      </c>
      <c r="P45" s="17" t="s">
        <v>593</v>
      </c>
      <c r="Q45" s="17" t="s">
        <v>698</v>
      </c>
      <c r="R45" s="17" t="s">
        <v>699</v>
      </c>
      <c r="S45" s="17" t="s">
        <v>232</v>
      </c>
      <c r="T45" s="17" t="s">
        <v>753</v>
      </c>
      <c r="U45" s="17" t="s">
        <v>845</v>
      </c>
      <c r="V45" s="17" t="s">
        <v>757</v>
      </c>
      <c r="W45" s="17" t="s">
        <v>417</v>
      </c>
      <c r="X45" s="17" t="s">
        <v>703</v>
      </c>
      <c r="Y45" s="17" t="s">
        <v>704</v>
      </c>
      <c r="Z45" s="17" t="s">
        <v>151</v>
      </c>
      <c r="AA45" s="17" t="s">
        <v>162</v>
      </c>
      <c r="AB45" s="17" t="s">
        <v>163</v>
      </c>
      <c r="AC45" s="19" t="s">
        <v>68</v>
      </c>
      <c r="AD45" s="20" t="s">
        <v>168</v>
      </c>
      <c r="AE45" s="21" t="s">
        <v>174</v>
      </c>
      <c r="AF45" s="24" t="s">
        <v>315</v>
      </c>
    </row>
    <row r="46" ht="43.5" customHeight="1">
      <c r="A46" s="17" t="s">
        <v>847</v>
      </c>
      <c r="B46" s="17">
        <v>43.0</v>
      </c>
      <c r="C46" s="17" t="s">
        <v>690</v>
      </c>
      <c r="D46" s="17">
        <v>3.0</v>
      </c>
      <c r="E46" s="17" t="s">
        <v>692</v>
      </c>
      <c r="F46" s="17" t="s">
        <v>225</v>
      </c>
      <c r="G46" s="17">
        <v>11.0</v>
      </c>
      <c r="H46" s="17" t="s">
        <v>123</v>
      </c>
      <c r="I46" s="17" t="s">
        <v>848</v>
      </c>
      <c r="J46" s="17" t="s">
        <v>849</v>
      </c>
      <c r="K46" s="17" t="s">
        <v>767</v>
      </c>
      <c r="L46" s="17" t="s">
        <v>767</v>
      </c>
      <c r="M46" s="17" t="s">
        <v>747</v>
      </c>
      <c r="N46" s="17"/>
      <c r="O46" s="17" t="s">
        <v>249</v>
      </c>
      <c r="P46" s="17" t="s">
        <v>593</v>
      </c>
      <c r="Q46" s="17" t="s">
        <v>698</v>
      </c>
      <c r="R46" s="17" t="s">
        <v>699</v>
      </c>
      <c r="S46" s="17" t="s">
        <v>232</v>
      </c>
      <c r="T46" s="17" t="s">
        <v>771</v>
      </c>
      <c r="U46" s="17" t="s">
        <v>851</v>
      </c>
      <c r="V46" s="17" t="s">
        <v>773</v>
      </c>
      <c r="W46" s="17" t="s">
        <v>437</v>
      </c>
      <c r="X46" s="17" t="s">
        <v>703</v>
      </c>
      <c r="Y46" s="17" t="s">
        <v>704</v>
      </c>
      <c r="Z46" s="17" t="s">
        <v>151</v>
      </c>
      <c r="AA46" s="17" t="s">
        <v>162</v>
      </c>
      <c r="AB46" s="17" t="s">
        <v>163</v>
      </c>
      <c r="AC46" s="19" t="s">
        <v>68</v>
      </c>
      <c r="AD46" s="20" t="s">
        <v>168</v>
      </c>
      <c r="AE46" s="21" t="s">
        <v>174</v>
      </c>
      <c r="AF46" s="22" t="s">
        <v>182</v>
      </c>
    </row>
    <row r="47" ht="43.5" customHeight="1">
      <c r="A47" s="17" t="s">
        <v>853</v>
      </c>
      <c r="B47" s="17">
        <v>44.0</v>
      </c>
      <c r="C47" s="17" t="s">
        <v>690</v>
      </c>
      <c r="D47" s="17">
        <v>3.0</v>
      </c>
      <c r="E47" s="17" t="s">
        <v>692</v>
      </c>
      <c r="F47" s="17" t="s">
        <v>225</v>
      </c>
      <c r="G47" s="17">
        <v>12.0</v>
      </c>
      <c r="H47" s="17" t="s">
        <v>123</v>
      </c>
      <c r="I47" s="17" t="s">
        <v>856</v>
      </c>
      <c r="J47" s="17" t="s">
        <v>858</v>
      </c>
      <c r="K47" s="17" t="s">
        <v>779</v>
      </c>
      <c r="L47" s="17" t="s">
        <v>779</v>
      </c>
      <c r="M47" s="17" t="s">
        <v>767</v>
      </c>
      <c r="N47" s="17"/>
      <c r="O47" s="17" t="s">
        <v>249</v>
      </c>
      <c r="P47" s="17" t="s">
        <v>593</v>
      </c>
      <c r="Q47" s="17" t="s">
        <v>698</v>
      </c>
      <c r="R47" s="17" t="s">
        <v>699</v>
      </c>
      <c r="S47" s="17" t="s">
        <v>232</v>
      </c>
      <c r="T47" s="17" t="s">
        <v>780</v>
      </c>
      <c r="U47" s="17" t="s">
        <v>859</v>
      </c>
      <c r="V47" s="17" t="s">
        <v>782</v>
      </c>
      <c r="W47" s="17" t="s">
        <v>452</v>
      </c>
      <c r="X47" s="17" t="s">
        <v>703</v>
      </c>
      <c r="Y47" s="17" t="s">
        <v>704</v>
      </c>
      <c r="Z47" s="17" t="s">
        <v>151</v>
      </c>
      <c r="AA47" s="17" t="s">
        <v>162</v>
      </c>
      <c r="AB47" s="17" t="s">
        <v>163</v>
      </c>
      <c r="AC47" s="19" t="s">
        <v>68</v>
      </c>
      <c r="AD47" s="20" t="s">
        <v>168</v>
      </c>
      <c r="AE47" s="21" t="s">
        <v>174</v>
      </c>
      <c r="AF47" s="22" t="s">
        <v>182</v>
      </c>
    </row>
    <row r="48" ht="43.5" customHeight="1">
      <c r="A48" s="17" t="s">
        <v>864</v>
      </c>
      <c r="B48" s="17">
        <v>45.0</v>
      </c>
      <c r="C48" s="17" t="s">
        <v>690</v>
      </c>
      <c r="D48" s="17">
        <v>3.0</v>
      </c>
      <c r="E48" s="17" t="s">
        <v>692</v>
      </c>
      <c r="F48" s="17" t="s">
        <v>225</v>
      </c>
      <c r="G48" s="17">
        <v>15.0</v>
      </c>
      <c r="H48" s="17" t="s">
        <v>460</v>
      </c>
      <c r="I48" s="17" t="s">
        <v>866</v>
      </c>
      <c r="J48" s="17" t="s">
        <v>462</v>
      </c>
      <c r="K48" s="17" t="s">
        <v>463</v>
      </c>
      <c r="L48" s="17" t="s">
        <v>464</v>
      </c>
      <c r="M48" s="17" t="s">
        <v>465</v>
      </c>
      <c r="N48" s="17" t="s">
        <v>466</v>
      </c>
      <c r="O48" s="17" t="s">
        <v>130</v>
      </c>
      <c r="P48" s="17" t="s">
        <v>133</v>
      </c>
      <c r="Q48" s="17" t="s">
        <v>467</v>
      </c>
      <c r="R48" s="17" t="s">
        <v>379</v>
      </c>
      <c r="S48" s="17" t="s">
        <v>82</v>
      </c>
      <c r="T48" s="17" t="s">
        <v>469</v>
      </c>
      <c r="U48" s="17" t="s">
        <v>859</v>
      </c>
      <c r="V48" s="17" t="s">
        <v>470</v>
      </c>
      <c r="W48" s="17" t="s">
        <v>471</v>
      </c>
      <c r="X48" s="17" t="s">
        <v>703</v>
      </c>
      <c r="Y48" s="17" t="s">
        <v>472</v>
      </c>
      <c r="Z48" s="17" t="s">
        <v>151</v>
      </c>
      <c r="AA48" s="17" t="s">
        <v>162</v>
      </c>
      <c r="AB48" s="17" t="s">
        <v>473</v>
      </c>
      <c r="AC48" s="19" t="s">
        <v>68</v>
      </c>
      <c r="AD48" s="20" t="s">
        <v>168</v>
      </c>
      <c r="AE48" s="21" t="s">
        <v>174</v>
      </c>
      <c r="AF48" s="24" t="s">
        <v>315</v>
      </c>
    </row>
    <row r="49" ht="43.5" customHeight="1">
      <c r="A49" s="17" t="s">
        <v>870</v>
      </c>
      <c r="B49" s="17">
        <v>46.0</v>
      </c>
      <c r="C49" s="17" t="s">
        <v>871</v>
      </c>
      <c r="D49" s="17">
        <v>4.0</v>
      </c>
      <c r="E49" s="17" t="s">
        <v>872</v>
      </c>
      <c r="F49" s="17" t="s">
        <v>101</v>
      </c>
      <c r="G49" s="17">
        <v>1.0</v>
      </c>
      <c r="H49" s="17" t="s">
        <v>123</v>
      </c>
      <c r="I49" s="17" t="s">
        <v>874</v>
      </c>
      <c r="J49" s="17" t="s">
        <v>875</v>
      </c>
      <c r="K49" s="17" t="s">
        <v>876</v>
      </c>
      <c r="L49" s="17" t="s">
        <v>876</v>
      </c>
      <c r="M49" s="17" t="s">
        <v>128</v>
      </c>
      <c r="N49" s="17"/>
      <c r="O49" s="17" t="s">
        <v>324</v>
      </c>
      <c r="P49" s="17" t="s">
        <v>878</v>
      </c>
      <c r="Q49" s="17" t="s">
        <v>879</v>
      </c>
      <c r="R49" s="17" t="s">
        <v>880</v>
      </c>
      <c r="S49" s="17" t="s">
        <v>106</v>
      </c>
      <c r="T49" s="17" t="s">
        <v>881</v>
      </c>
      <c r="U49" s="17" t="s">
        <v>882</v>
      </c>
      <c r="V49" s="17" t="s">
        <v>883</v>
      </c>
      <c r="W49" s="17" t="s">
        <v>145</v>
      </c>
      <c r="X49" s="17" t="s">
        <v>884</v>
      </c>
      <c r="Y49" s="17" t="s">
        <v>149</v>
      </c>
      <c r="Z49" s="17" t="s">
        <v>151</v>
      </c>
      <c r="AA49" s="17" t="s">
        <v>162</v>
      </c>
      <c r="AB49" s="17" t="s">
        <v>163</v>
      </c>
      <c r="AC49" s="19" t="s">
        <v>68</v>
      </c>
      <c r="AD49" s="20" t="s">
        <v>168</v>
      </c>
      <c r="AE49" s="21" t="s">
        <v>174</v>
      </c>
      <c r="AF49" s="22" t="s">
        <v>182</v>
      </c>
    </row>
    <row r="50" ht="43.5" customHeight="1">
      <c r="A50" s="17" t="s">
        <v>886</v>
      </c>
      <c r="B50" s="17">
        <v>47.0</v>
      </c>
      <c r="C50" s="17" t="s">
        <v>871</v>
      </c>
      <c r="D50" s="17">
        <v>4.0</v>
      </c>
      <c r="E50" s="17" t="s">
        <v>872</v>
      </c>
      <c r="F50" s="17" t="s">
        <v>101</v>
      </c>
      <c r="G50" s="17">
        <v>2.0</v>
      </c>
      <c r="H50" s="17" t="s">
        <v>123</v>
      </c>
      <c r="I50" s="17" t="s">
        <v>890</v>
      </c>
      <c r="J50" s="17" t="s">
        <v>891</v>
      </c>
      <c r="K50" s="17" t="s">
        <v>892</v>
      </c>
      <c r="L50" s="17" t="s">
        <v>892</v>
      </c>
      <c r="M50" s="17" t="s">
        <v>876</v>
      </c>
      <c r="N50" s="17"/>
      <c r="O50" s="17" t="s">
        <v>324</v>
      </c>
      <c r="P50" s="17" t="s">
        <v>878</v>
      </c>
      <c r="Q50" s="17" t="s">
        <v>879</v>
      </c>
      <c r="R50" s="17" t="s">
        <v>880</v>
      </c>
      <c r="S50" s="17" t="s">
        <v>106</v>
      </c>
      <c r="T50" s="17" t="s">
        <v>894</v>
      </c>
      <c r="U50" s="17" t="s">
        <v>895</v>
      </c>
      <c r="V50" s="17" t="s">
        <v>896</v>
      </c>
      <c r="W50" s="17" t="s">
        <v>209</v>
      </c>
      <c r="X50" s="17" t="s">
        <v>884</v>
      </c>
      <c r="Y50" s="17" t="s">
        <v>149</v>
      </c>
      <c r="Z50" s="17" t="s">
        <v>151</v>
      </c>
      <c r="AA50" s="17" t="s">
        <v>162</v>
      </c>
      <c r="AB50" s="17" t="s">
        <v>163</v>
      </c>
      <c r="AC50" s="19" t="s">
        <v>68</v>
      </c>
      <c r="AD50" s="20" t="s">
        <v>168</v>
      </c>
      <c r="AE50" s="21" t="s">
        <v>174</v>
      </c>
      <c r="AF50" s="22" t="s">
        <v>182</v>
      </c>
    </row>
    <row r="51" ht="43.5" customHeight="1">
      <c r="A51" s="17" t="s">
        <v>900</v>
      </c>
      <c r="B51" s="17">
        <v>48.0</v>
      </c>
      <c r="C51" s="17" t="s">
        <v>871</v>
      </c>
      <c r="D51" s="17">
        <v>4.0</v>
      </c>
      <c r="E51" s="17" t="s">
        <v>872</v>
      </c>
      <c r="F51" s="17" t="s">
        <v>101</v>
      </c>
      <c r="G51" s="17">
        <v>3.0</v>
      </c>
      <c r="H51" s="17" t="s">
        <v>123</v>
      </c>
      <c r="I51" s="17" t="s">
        <v>905</v>
      </c>
      <c r="J51" s="17" t="s">
        <v>907</v>
      </c>
      <c r="K51" s="17" t="s">
        <v>910</v>
      </c>
      <c r="L51" s="17" t="s">
        <v>910</v>
      </c>
      <c r="M51" s="17" t="s">
        <v>892</v>
      </c>
      <c r="N51" s="17"/>
      <c r="O51" s="17" t="s">
        <v>324</v>
      </c>
      <c r="P51" s="17" t="s">
        <v>878</v>
      </c>
      <c r="Q51" s="17" t="s">
        <v>879</v>
      </c>
      <c r="R51" s="17" t="s">
        <v>880</v>
      </c>
      <c r="S51" s="17" t="s">
        <v>106</v>
      </c>
      <c r="T51" s="17" t="s">
        <v>912</v>
      </c>
      <c r="U51" s="17" t="s">
        <v>913</v>
      </c>
      <c r="V51" s="17" t="s">
        <v>914</v>
      </c>
      <c r="W51" s="17" t="s">
        <v>209</v>
      </c>
      <c r="X51" s="17" t="s">
        <v>884</v>
      </c>
      <c r="Y51" s="17" t="s">
        <v>149</v>
      </c>
      <c r="Z51" s="17" t="s">
        <v>151</v>
      </c>
      <c r="AA51" s="17" t="s">
        <v>162</v>
      </c>
      <c r="AB51" s="17" t="s">
        <v>163</v>
      </c>
      <c r="AC51" s="19" t="s">
        <v>68</v>
      </c>
      <c r="AD51" s="20" t="s">
        <v>168</v>
      </c>
      <c r="AE51" s="21" t="s">
        <v>174</v>
      </c>
      <c r="AF51" s="22" t="s">
        <v>182</v>
      </c>
    </row>
    <row r="52" ht="43.5" customHeight="1">
      <c r="A52" s="17" t="s">
        <v>916</v>
      </c>
      <c r="B52" s="17">
        <v>49.0</v>
      </c>
      <c r="C52" s="17" t="s">
        <v>871</v>
      </c>
      <c r="D52" s="17">
        <v>4.0</v>
      </c>
      <c r="E52" s="17" t="s">
        <v>872</v>
      </c>
      <c r="F52" s="17" t="s">
        <v>101</v>
      </c>
      <c r="G52" s="17">
        <v>4.0</v>
      </c>
      <c r="H52" s="17" t="s">
        <v>240</v>
      </c>
      <c r="I52" s="17" t="s">
        <v>920</v>
      </c>
      <c r="J52" s="17" t="s">
        <v>270</v>
      </c>
      <c r="K52" s="17" t="s">
        <v>271</v>
      </c>
      <c r="L52" s="17" t="s">
        <v>271</v>
      </c>
      <c r="M52" s="17" t="s">
        <v>923</v>
      </c>
      <c r="N52" s="17" t="s">
        <v>268</v>
      </c>
      <c r="O52" s="17" t="s">
        <v>249</v>
      </c>
      <c r="P52" s="17" t="s">
        <v>252</v>
      </c>
      <c r="Q52" s="17" t="s">
        <v>273</v>
      </c>
      <c r="R52" s="17" t="s">
        <v>880</v>
      </c>
      <c r="S52" s="17" t="s">
        <v>248</v>
      </c>
      <c r="T52" s="17" t="s">
        <v>925</v>
      </c>
      <c r="U52" s="17" t="s">
        <v>926</v>
      </c>
      <c r="V52" s="17" t="s">
        <v>927</v>
      </c>
      <c r="W52" s="17" t="s">
        <v>260</v>
      </c>
      <c r="X52" s="17" t="s">
        <v>884</v>
      </c>
      <c r="Y52" s="17" t="s">
        <v>261</v>
      </c>
      <c r="Z52" s="17" t="s">
        <v>151</v>
      </c>
      <c r="AA52" s="17" t="s">
        <v>162</v>
      </c>
      <c r="AB52" s="17" t="s">
        <v>929</v>
      </c>
      <c r="AC52" s="19" t="s">
        <v>68</v>
      </c>
      <c r="AD52" s="20" t="s">
        <v>168</v>
      </c>
      <c r="AE52" s="21" t="s">
        <v>174</v>
      </c>
      <c r="AF52" s="23" t="s">
        <v>272</v>
      </c>
    </row>
    <row r="53" ht="43.5" customHeight="1">
      <c r="A53" s="17" t="s">
        <v>931</v>
      </c>
      <c r="B53" s="17">
        <v>50.0</v>
      </c>
      <c r="C53" s="17" t="s">
        <v>871</v>
      </c>
      <c r="D53" s="17">
        <v>4.0</v>
      </c>
      <c r="E53" s="17" t="s">
        <v>872</v>
      </c>
      <c r="F53" s="17" t="s">
        <v>101</v>
      </c>
      <c r="G53" s="17">
        <v>4.0</v>
      </c>
      <c r="H53" s="17" t="s">
        <v>123</v>
      </c>
      <c r="I53" s="17" t="s">
        <v>934</v>
      </c>
      <c r="J53" s="17" t="s">
        <v>936</v>
      </c>
      <c r="K53" s="17" t="s">
        <v>938</v>
      </c>
      <c r="L53" s="17" t="s">
        <v>938</v>
      </c>
      <c r="M53" s="17" t="s">
        <v>910</v>
      </c>
      <c r="N53" s="17"/>
      <c r="O53" s="17" t="s">
        <v>324</v>
      </c>
      <c r="P53" s="17" t="s">
        <v>878</v>
      </c>
      <c r="Q53" s="17" t="s">
        <v>879</v>
      </c>
      <c r="R53" s="17" t="s">
        <v>880</v>
      </c>
      <c r="S53" s="17" t="s">
        <v>106</v>
      </c>
      <c r="T53" s="17" t="s">
        <v>940</v>
      </c>
      <c r="U53" s="17" t="s">
        <v>942</v>
      </c>
      <c r="V53" s="17" t="s">
        <v>943</v>
      </c>
      <c r="W53" s="17" t="s">
        <v>209</v>
      </c>
      <c r="X53" s="17" t="s">
        <v>884</v>
      </c>
      <c r="Y53" s="17" t="s">
        <v>149</v>
      </c>
      <c r="Z53" s="17" t="s">
        <v>151</v>
      </c>
      <c r="AA53" s="17" t="s">
        <v>162</v>
      </c>
      <c r="AB53" s="17" t="s">
        <v>163</v>
      </c>
      <c r="AC53" s="19" t="s">
        <v>68</v>
      </c>
      <c r="AD53" s="20" t="s">
        <v>168</v>
      </c>
      <c r="AE53" s="21" t="s">
        <v>174</v>
      </c>
      <c r="AF53" s="22" t="s">
        <v>182</v>
      </c>
    </row>
    <row r="54" ht="43.5" customHeight="1">
      <c r="A54" s="17" t="s">
        <v>947</v>
      </c>
      <c r="B54" s="17">
        <v>51.0</v>
      </c>
      <c r="C54" s="17" t="s">
        <v>871</v>
      </c>
      <c r="D54" s="17">
        <v>4.0</v>
      </c>
      <c r="E54" s="17" t="s">
        <v>872</v>
      </c>
      <c r="F54" s="17" t="s">
        <v>101</v>
      </c>
      <c r="G54" s="17">
        <v>5.0</v>
      </c>
      <c r="H54" s="17" t="s">
        <v>123</v>
      </c>
      <c r="I54" s="17" t="s">
        <v>951</v>
      </c>
      <c r="J54" s="17" t="s">
        <v>952</v>
      </c>
      <c r="K54" s="17" t="s">
        <v>953</v>
      </c>
      <c r="L54" s="17" t="s">
        <v>953</v>
      </c>
      <c r="M54" s="17" t="s">
        <v>938</v>
      </c>
      <c r="N54" s="17"/>
      <c r="O54" s="17" t="s">
        <v>324</v>
      </c>
      <c r="P54" s="17" t="s">
        <v>878</v>
      </c>
      <c r="Q54" s="17" t="s">
        <v>879</v>
      </c>
      <c r="R54" s="17" t="s">
        <v>880</v>
      </c>
      <c r="S54" s="17" t="s">
        <v>106</v>
      </c>
      <c r="T54" s="17" t="s">
        <v>955</v>
      </c>
      <c r="U54" s="17" t="s">
        <v>956</v>
      </c>
      <c r="V54" s="17" t="s">
        <v>957</v>
      </c>
      <c r="W54" s="17" t="s">
        <v>145</v>
      </c>
      <c r="X54" s="17" t="s">
        <v>884</v>
      </c>
      <c r="Y54" s="17" t="s">
        <v>149</v>
      </c>
      <c r="Z54" s="17" t="s">
        <v>151</v>
      </c>
      <c r="AA54" s="17" t="s">
        <v>162</v>
      </c>
      <c r="AB54" s="17" t="s">
        <v>163</v>
      </c>
      <c r="AC54" s="19" t="s">
        <v>68</v>
      </c>
      <c r="AD54" s="20" t="s">
        <v>168</v>
      </c>
      <c r="AE54" s="21" t="s">
        <v>174</v>
      </c>
      <c r="AF54" s="22" t="s">
        <v>182</v>
      </c>
    </row>
    <row r="55" ht="43.5" customHeight="1">
      <c r="A55" s="17" t="s">
        <v>964</v>
      </c>
      <c r="B55" s="17">
        <v>52.0</v>
      </c>
      <c r="C55" s="17" t="s">
        <v>871</v>
      </c>
      <c r="D55" s="17">
        <v>4.0</v>
      </c>
      <c r="E55" s="17" t="s">
        <v>872</v>
      </c>
      <c r="F55" s="17" t="s">
        <v>101</v>
      </c>
      <c r="G55" s="17">
        <v>6.0</v>
      </c>
      <c r="H55" s="17" t="s">
        <v>123</v>
      </c>
      <c r="I55" s="17" t="s">
        <v>965</v>
      </c>
      <c r="J55" s="17" t="s">
        <v>966</v>
      </c>
      <c r="K55" s="17" t="s">
        <v>968</v>
      </c>
      <c r="L55" s="17" t="s">
        <v>968</v>
      </c>
      <c r="M55" s="17" t="s">
        <v>953</v>
      </c>
      <c r="N55" s="17"/>
      <c r="O55" s="17" t="s">
        <v>324</v>
      </c>
      <c r="P55" s="17" t="s">
        <v>878</v>
      </c>
      <c r="Q55" s="17" t="s">
        <v>879</v>
      </c>
      <c r="R55" s="17" t="s">
        <v>880</v>
      </c>
      <c r="S55" s="17" t="s">
        <v>106</v>
      </c>
      <c r="T55" s="17" t="s">
        <v>972</v>
      </c>
      <c r="U55" s="17" t="s">
        <v>973</v>
      </c>
      <c r="V55" s="17" t="s">
        <v>974</v>
      </c>
      <c r="W55" s="17" t="s">
        <v>209</v>
      </c>
      <c r="X55" s="17" t="s">
        <v>884</v>
      </c>
      <c r="Y55" s="17" t="s">
        <v>149</v>
      </c>
      <c r="Z55" s="17" t="s">
        <v>151</v>
      </c>
      <c r="AA55" s="17" t="s">
        <v>162</v>
      </c>
      <c r="AB55" s="17" t="s">
        <v>163</v>
      </c>
      <c r="AC55" s="19" t="s">
        <v>68</v>
      </c>
      <c r="AD55" s="20" t="s">
        <v>168</v>
      </c>
      <c r="AE55" s="21" t="s">
        <v>174</v>
      </c>
      <c r="AF55" s="24" t="s">
        <v>315</v>
      </c>
    </row>
    <row r="56" ht="43.5" customHeight="1">
      <c r="A56" s="17" t="s">
        <v>978</v>
      </c>
      <c r="B56" s="17">
        <v>53.0</v>
      </c>
      <c r="C56" s="17" t="s">
        <v>871</v>
      </c>
      <c r="D56" s="17">
        <v>4.0</v>
      </c>
      <c r="E56" s="17" t="s">
        <v>872</v>
      </c>
      <c r="F56" s="17" t="s">
        <v>101</v>
      </c>
      <c r="G56" s="17">
        <v>7.0</v>
      </c>
      <c r="H56" s="17" t="s">
        <v>123</v>
      </c>
      <c r="I56" s="17" t="s">
        <v>981</v>
      </c>
      <c r="J56" s="17" t="s">
        <v>982</v>
      </c>
      <c r="K56" s="17" t="s">
        <v>876</v>
      </c>
      <c r="L56" s="17" t="s">
        <v>876</v>
      </c>
      <c r="M56" s="17" t="s">
        <v>968</v>
      </c>
      <c r="N56" s="17"/>
      <c r="O56" s="17" t="s">
        <v>324</v>
      </c>
      <c r="P56" s="17" t="s">
        <v>878</v>
      </c>
      <c r="Q56" s="17" t="s">
        <v>879</v>
      </c>
      <c r="R56" s="17" t="s">
        <v>880</v>
      </c>
      <c r="S56" s="17" t="s">
        <v>106</v>
      </c>
      <c r="T56" s="17" t="s">
        <v>881</v>
      </c>
      <c r="U56" s="17" t="s">
        <v>985</v>
      </c>
      <c r="V56" s="17" t="s">
        <v>883</v>
      </c>
      <c r="W56" s="17" t="s">
        <v>209</v>
      </c>
      <c r="X56" s="17" t="s">
        <v>884</v>
      </c>
      <c r="Y56" s="17" t="s">
        <v>149</v>
      </c>
      <c r="Z56" s="17" t="s">
        <v>151</v>
      </c>
      <c r="AA56" s="17" t="s">
        <v>162</v>
      </c>
      <c r="AB56" s="17" t="s">
        <v>163</v>
      </c>
      <c r="AC56" s="19" t="s">
        <v>68</v>
      </c>
      <c r="AD56" s="20" t="s">
        <v>168</v>
      </c>
      <c r="AE56" s="21" t="s">
        <v>174</v>
      </c>
      <c r="AF56" s="24" t="s">
        <v>315</v>
      </c>
    </row>
    <row r="57" ht="43.5" customHeight="1">
      <c r="A57" s="17" t="s">
        <v>989</v>
      </c>
      <c r="B57" s="17">
        <v>54.0</v>
      </c>
      <c r="C57" s="17" t="s">
        <v>871</v>
      </c>
      <c r="D57" s="17">
        <v>4.0</v>
      </c>
      <c r="E57" s="17" t="s">
        <v>872</v>
      </c>
      <c r="F57" s="17" t="s">
        <v>101</v>
      </c>
      <c r="G57" s="17">
        <v>8.0</v>
      </c>
      <c r="H57" s="17" t="s">
        <v>123</v>
      </c>
      <c r="I57" s="17" t="s">
        <v>991</v>
      </c>
      <c r="J57" s="17" t="s">
        <v>994</v>
      </c>
      <c r="K57" s="17" t="s">
        <v>892</v>
      </c>
      <c r="L57" s="17" t="s">
        <v>892</v>
      </c>
      <c r="M57" s="17" t="s">
        <v>876</v>
      </c>
      <c r="N57" s="17"/>
      <c r="O57" s="17" t="s">
        <v>324</v>
      </c>
      <c r="P57" s="17" t="s">
        <v>878</v>
      </c>
      <c r="Q57" s="17" t="s">
        <v>879</v>
      </c>
      <c r="R57" s="17" t="s">
        <v>880</v>
      </c>
      <c r="S57" s="17" t="s">
        <v>106</v>
      </c>
      <c r="T57" s="17" t="s">
        <v>894</v>
      </c>
      <c r="U57" s="17" t="s">
        <v>996</v>
      </c>
      <c r="V57" s="17" t="s">
        <v>896</v>
      </c>
      <c r="W57" s="17" t="s">
        <v>209</v>
      </c>
      <c r="X57" s="17" t="s">
        <v>884</v>
      </c>
      <c r="Y57" s="17" t="s">
        <v>149</v>
      </c>
      <c r="Z57" s="17" t="s">
        <v>151</v>
      </c>
      <c r="AA57" s="17" t="s">
        <v>162</v>
      </c>
      <c r="AB57" s="17" t="s">
        <v>163</v>
      </c>
      <c r="AC57" s="19" t="s">
        <v>68</v>
      </c>
      <c r="AD57" s="20" t="s">
        <v>168</v>
      </c>
      <c r="AE57" s="21" t="s">
        <v>174</v>
      </c>
      <c r="AF57" s="24" t="s">
        <v>315</v>
      </c>
    </row>
    <row r="58" ht="43.5" customHeight="1">
      <c r="A58" s="17" t="s">
        <v>998</v>
      </c>
      <c r="B58" s="17">
        <v>55.0</v>
      </c>
      <c r="C58" s="17" t="s">
        <v>871</v>
      </c>
      <c r="D58" s="17">
        <v>4.0</v>
      </c>
      <c r="E58" s="17" t="s">
        <v>872</v>
      </c>
      <c r="F58" s="17" t="s">
        <v>101</v>
      </c>
      <c r="G58" s="17">
        <v>9.0</v>
      </c>
      <c r="H58" s="17" t="s">
        <v>123</v>
      </c>
      <c r="I58" s="17" t="s">
        <v>1001</v>
      </c>
      <c r="J58" s="17" t="s">
        <v>1002</v>
      </c>
      <c r="K58" s="17" t="s">
        <v>910</v>
      </c>
      <c r="L58" s="17" t="s">
        <v>910</v>
      </c>
      <c r="M58" s="17" t="s">
        <v>892</v>
      </c>
      <c r="N58" s="17"/>
      <c r="O58" s="17" t="s">
        <v>324</v>
      </c>
      <c r="P58" s="17" t="s">
        <v>878</v>
      </c>
      <c r="Q58" s="17" t="s">
        <v>879</v>
      </c>
      <c r="R58" s="17" t="s">
        <v>880</v>
      </c>
      <c r="S58" s="17" t="s">
        <v>106</v>
      </c>
      <c r="T58" s="17" t="s">
        <v>912</v>
      </c>
      <c r="U58" s="17" t="s">
        <v>1004</v>
      </c>
      <c r="V58" s="17" t="s">
        <v>914</v>
      </c>
      <c r="W58" s="17" t="s">
        <v>209</v>
      </c>
      <c r="X58" s="17" t="s">
        <v>884</v>
      </c>
      <c r="Y58" s="17" t="s">
        <v>149</v>
      </c>
      <c r="Z58" s="17" t="s">
        <v>151</v>
      </c>
      <c r="AA58" s="17" t="s">
        <v>162</v>
      </c>
      <c r="AB58" s="17" t="s">
        <v>163</v>
      </c>
      <c r="AC58" s="19" t="s">
        <v>68</v>
      </c>
      <c r="AD58" s="20" t="s">
        <v>168</v>
      </c>
      <c r="AE58" s="21" t="s">
        <v>174</v>
      </c>
      <c r="AF58" s="24" t="s">
        <v>315</v>
      </c>
    </row>
    <row r="59" ht="43.5" customHeight="1">
      <c r="A59" s="17" t="s">
        <v>1007</v>
      </c>
      <c r="B59" s="17">
        <v>56.0</v>
      </c>
      <c r="C59" s="17" t="s">
        <v>871</v>
      </c>
      <c r="D59" s="17">
        <v>4.0</v>
      </c>
      <c r="E59" s="17" t="s">
        <v>872</v>
      </c>
      <c r="F59" s="17" t="s">
        <v>101</v>
      </c>
      <c r="G59" s="17">
        <v>11.0</v>
      </c>
      <c r="H59" s="17" t="s">
        <v>370</v>
      </c>
      <c r="I59" s="17" t="s">
        <v>1009</v>
      </c>
      <c r="J59" s="17" t="s">
        <v>1010</v>
      </c>
      <c r="K59" s="17" t="s">
        <v>1011</v>
      </c>
      <c r="L59" s="17" t="s">
        <v>876</v>
      </c>
      <c r="M59" s="17" t="s">
        <v>375</v>
      </c>
      <c r="N59" s="17" t="s">
        <v>376</v>
      </c>
      <c r="O59" s="17" t="s">
        <v>130</v>
      </c>
      <c r="P59" s="17" t="s">
        <v>377</v>
      </c>
      <c r="Q59" s="17" t="s">
        <v>378</v>
      </c>
      <c r="R59" s="17" t="s">
        <v>379</v>
      </c>
      <c r="S59" s="17" t="s">
        <v>106</v>
      </c>
      <c r="T59" s="17" t="s">
        <v>1013</v>
      </c>
      <c r="U59" s="17" t="s">
        <v>1015</v>
      </c>
      <c r="V59" s="17" t="s">
        <v>1016</v>
      </c>
      <c r="W59" s="17" t="s">
        <v>389</v>
      </c>
      <c r="X59" s="17" t="s">
        <v>884</v>
      </c>
      <c r="Y59" s="17" t="s">
        <v>391</v>
      </c>
      <c r="Z59" s="17" t="s">
        <v>151</v>
      </c>
      <c r="AA59" s="17" t="s">
        <v>162</v>
      </c>
      <c r="AB59" s="17" t="s">
        <v>395</v>
      </c>
      <c r="AC59" s="19" t="s">
        <v>68</v>
      </c>
      <c r="AD59" s="20" t="s">
        <v>168</v>
      </c>
      <c r="AE59" s="21" t="s">
        <v>174</v>
      </c>
      <c r="AF59" s="22" t="s">
        <v>182</v>
      </c>
    </row>
    <row r="60" ht="43.5" customHeight="1">
      <c r="A60" s="17" t="s">
        <v>1019</v>
      </c>
      <c r="B60" s="17">
        <v>57.0</v>
      </c>
      <c r="C60" s="17" t="s">
        <v>871</v>
      </c>
      <c r="D60" s="17">
        <v>4.0</v>
      </c>
      <c r="E60" s="17" t="s">
        <v>872</v>
      </c>
      <c r="F60" s="17" t="s">
        <v>101</v>
      </c>
      <c r="G60" s="17">
        <v>10.0</v>
      </c>
      <c r="H60" s="17" t="s">
        <v>123</v>
      </c>
      <c r="I60" s="17" t="s">
        <v>1021</v>
      </c>
      <c r="J60" s="17" t="s">
        <v>1022</v>
      </c>
      <c r="K60" s="17" t="s">
        <v>938</v>
      </c>
      <c r="L60" s="17" t="s">
        <v>938</v>
      </c>
      <c r="M60" s="17" t="s">
        <v>910</v>
      </c>
      <c r="N60" s="17"/>
      <c r="O60" s="17" t="s">
        <v>324</v>
      </c>
      <c r="P60" s="17" t="s">
        <v>878</v>
      </c>
      <c r="Q60" s="17" t="s">
        <v>879</v>
      </c>
      <c r="R60" s="17" t="s">
        <v>880</v>
      </c>
      <c r="S60" s="17" t="s">
        <v>106</v>
      </c>
      <c r="T60" s="17" t="s">
        <v>940</v>
      </c>
      <c r="U60" s="17" t="s">
        <v>1024</v>
      </c>
      <c r="V60" s="17" t="s">
        <v>943</v>
      </c>
      <c r="W60" s="17" t="s">
        <v>417</v>
      </c>
      <c r="X60" s="17" t="s">
        <v>884</v>
      </c>
      <c r="Y60" s="17" t="s">
        <v>149</v>
      </c>
      <c r="Z60" s="17" t="s">
        <v>151</v>
      </c>
      <c r="AA60" s="17" t="s">
        <v>162</v>
      </c>
      <c r="AB60" s="17" t="s">
        <v>163</v>
      </c>
      <c r="AC60" s="19" t="s">
        <v>68</v>
      </c>
      <c r="AD60" s="20" t="s">
        <v>168</v>
      </c>
      <c r="AE60" s="21" t="s">
        <v>174</v>
      </c>
      <c r="AF60" s="24" t="s">
        <v>315</v>
      </c>
    </row>
    <row r="61" ht="43.5" customHeight="1">
      <c r="A61" s="17" t="s">
        <v>1028</v>
      </c>
      <c r="B61" s="17">
        <v>58.0</v>
      </c>
      <c r="C61" s="17" t="s">
        <v>871</v>
      </c>
      <c r="D61" s="17">
        <v>4.0</v>
      </c>
      <c r="E61" s="17" t="s">
        <v>872</v>
      </c>
      <c r="F61" s="17" t="s">
        <v>101</v>
      </c>
      <c r="G61" s="17">
        <v>11.0</v>
      </c>
      <c r="H61" s="17" t="s">
        <v>123</v>
      </c>
      <c r="I61" s="17" t="s">
        <v>1030</v>
      </c>
      <c r="J61" s="17" t="s">
        <v>1031</v>
      </c>
      <c r="K61" s="17" t="s">
        <v>953</v>
      </c>
      <c r="L61" s="17" t="s">
        <v>953</v>
      </c>
      <c r="M61" s="17" t="s">
        <v>938</v>
      </c>
      <c r="N61" s="17"/>
      <c r="O61" s="17" t="s">
        <v>324</v>
      </c>
      <c r="P61" s="17" t="s">
        <v>878</v>
      </c>
      <c r="Q61" s="17" t="s">
        <v>879</v>
      </c>
      <c r="R61" s="17" t="s">
        <v>880</v>
      </c>
      <c r="S61" s="17" t="s">
        <v>106</v>
      </c>
      <c r="T61" s="17" t="s">
        <v>955</v>
      </c>
      <c r="U61" s="17" t="s">
        <v>1034</v>
      </c>
      <c r="V61" s="17" t="s">
        <v>957</v>
      </c>
      <c r="W61" s="17" t="s">
        <v>437</v>
      </c>
      <c r="X61" s="17" t="s">
        <v>884</v>
      </c>
      <c r="Y61" s="17" t="s">
        <v>149</v>
      </c>
      <c r="Z61" s="17" t="s">
        <v>151</v>
      </c>
      <c r="AA61" s="17" t="s">
        <v>162</v>
      </c>
      <c r="AB61" s="17" t="s">
        <v>163</v>
      </c>
      <c r="AC61" s="19" t="s">
        <v>68</v>
      </c>
      <c r="AD61" s="20" t="s">
        <v>168</v>
      </c>
      <c r="AE61" s="21" t="s">
        <v>174</v>
      </c>
      <c r="AF61" s="22" t="s">
        <v>182</v>
      </c>
    </row>
    <row r="62" ht="43.5" customHeight="1">
      <c r="A62" s="17" t="s">
        <v>1036</v>
      </c>
      <c r="B62" s="17">
        <v>59.0</v>
      </c>
      <c r="C62" s="17" t="s">
        <v>871</v>
      </c>
      <c r="D62" s="17">
        <v>4.0</v>
      </c>
      <c r="E62" s="17" t="s">
        <v>872</v>
      </c>
      <c r="F62" s="17" t="s">
        <v>101</v>
      </c>
      <c r="G62" s="17">
        <v>12.0</v>
      </c>
      <c r="H62" s="17" t="s">
        <v>123</v>
      </c>
      <c r="I62" s="17" t="s">
        <v>1038</v>
      </c>
      <c r="J62" s="17" t="s">
        <v>1039</v>
      </c>
      <c r="K62" s="17" t="s">
        <v>968</v>
      </c>
      <c r="L62" s="17" t="s">
        <v>968</v>
      </c>
      <c r="M62" s="17" t="s">
        <v>953</v>
      </c>
      <c r="N62" s="17"/>
      <c r="O62" s="17" t="s">
        <v>324</v>
      </c>
      <c r="P62" s="17" t="s">
        <v>878</v>
      </c>
      <c r="Q62" s="17" t="s">
        <v>879</v>
      </c>
      <c r="R62" s="17" t="s">
        <v>880</v>
      </c>
      <c r="S62" s="17" t="s">
        <v>106</v>
      </c>
      <c r="T62" s="17" t="s">
        <v>972</v>
      </c>
      <c r="U62" s="17" t="s">
        <v>1041</v>
      </c>
      <c r="V62" s="17" t="s">
        <v>974</v>
      </c>
      <c r="W62" s="17" t="s">
        <v>452</v>
      </c>
      <c r="X62" s="17" t="s">
        <v>884</v>
      </c>
      <c r="Y62" s="17" t="s">
        <v>149</v>
      </c>
      <c r="Z62" s="17" t="s">
        <v>151</v>
      </c>
      <c r="AA62" s="17" t="s">
        <v>162</v>
      </c>
      <c r="AB62" s="17" t="s">
        <v>163</v>
      </c>
      <c r="AC62" s="19" t="s">
        <v>68</v>
      </c>
      <c r="AD62" s="20" t="s">
        <v>168</v>
      </c>
      <c r="AE62" s="21" t="s">
        <v>174</v>
      </c>
      <c r="AF62" s="22" t="s">
        <v>182</v>
      </c>
    </row>
    <row r="63" ht="43.5" customHeight="1">
      <c r="A63" s="17" t="s">
        <v>1046</v>
      </c>
      <c r="B63" s="17">
        <v>60.0</v>
      </c>
      <c r="C63" s="17" t="s">
        <v>871</v>
      </c>
      <c r="D63" s="17">
        <v>4.0</v>
      </c>
      <c r="E63" s="17" t="s">
        <v>872</v>
      </c>
      <c r="F63" s="17" t="s">
        <v>101</v>
      </c>
      <c r="G63" s="17">
        <v>15.0</v>
      </c>
      <c r="H63" s="17" t="s">
        <v>460</v>
      </c>
      <c r="I63" s="17" t="s">
        <v>1051</v>
      </c>
      <c r="J63" s="17" t="s">
        <v>462</v>
      </c>
      <c r="K63" s="17" t="s">
        <v>463</v>
      </c>
      <c r="L63" s="17" t="s">
        <v>464</v>
      </c>
      <c r="M63" s="17" t="s">
        <v>465</v>
      </c>
      <c r="N63" s="17" t="s">
        <v>466</v>
      </c>
      <c r="O63" s="17" t="s">
        <v>130</v>
      </c>
      <c r="P63" s="17" t="s">
        <v>133</v>
      </c>
      <c r="Q63" s="17" t="s">
        <v>467</v>
      </c>
      <c r="R63" s="17" t="s">
        <v>379</v>
      </c>
      <c r="S63" s="17" t="s">
        <v>82</v>
      </c>
      <c r="T63" s="17" t="s">
        <v>469</v>
      </c>
      <c r="U63" s="17" t="s">
        <v>1041</v>
      </c>
      <c r="V63" s="17" t="s">
        <v>470</v>
      </c>
      <c r="W63" s="17" t="s">
        <v>471</v>
      </c>
      <c r="X63" s="17" t="s">
        <v>884</v>
      </c>
      <c r="Y63" s="17" t="s">
        <v>472</v>
      </c>
      <c r="Z63" s="17" t="s">
        <v>151</v>
      </c>
      <c r="AA63" s="17" t="s">
        <v>162</v>
      </c>
      <c r="AB63" s="17" t="s">
        <v>473</v>
      </c>
      <c r="AC63" s="19" t="s">
        <v>68</v>
      </c>
      <c r="AD63" s="20" t="s">
        <v>168</v>
      </c>
      <c r="AE63" s="21" t="s">
        <v>174</v>
      </c>
      <c r="AF63" s="24" t="s">
        <v>315</v>
      </c>
    </row>
    <row r="64" ht="43.5" customHeight="1">
      <c r="A64" s="17" t="s">
        <v>1061</v>
      </c>
      <c r="B64" s="17">
        <v>61.0</v>
      </c>
      <c r="C64" s="17" t="s">
        <v>1062</v>
      </c>
      <c r="D64" s="17">
        <v>5.0</v>
      </c>
      <c r="E64" s="17" t="s">
        <v>1063</v>
      </c>
      <c r="F64" s="17" t="s">
        <v>86</v>
      </c>
      <c r="G64" s="17">
        <v>1.0</v>
      </c>
      <c r="H64" s="17" t="s">
        <v>123</v>
      </c>
      <c r="I64" s="17" t="s">
        <v>1067</v>
      </c>
      <c r="J64" s="17" t="s">
        <v>1068</v>
      </c>
      <c r="K64" s="17" t="s">
        <v>1069</v>
      </c>
      <c r="L64" s="17" t="s">
        <v>1069</v>
      </c>
      <c r="M64" s="17" t="s">
        <v>128</v>
      </c>
      <c r="N64" s="17"/>
      <c r="O64" s="17" t="s">
        <v>249</v>
      </c>
      <c r="P64" s="17" t="s">
        <v>482</v>
      </c>
      <c r="Q64" s="17" t="s">
        <v>1072</v>
      </c>
      <c r="R64" s="17" t="s">
        <v>484</v>
      </c>
      <c r="S64" s="17" t="s">
        <v>232</v>
      </c>
      <c r="T64" s="17" t="s">
        <v>1074</v>
      </c>
      <c r="U64" s="17" t="s">
        <v>1075</v>
      </c>
      <c r="V64" s="17" t="s">
        <v>1076</v>
      </c>
      <c r="W64" s="17" t="s">
        <v>145</v>
      </c>
      <c r="X64" s="17" t="s">
        <v>1077</v>
      </c>
      <c r="Y64" s="17" t="s">
        <v>1078</v>
      </c>
      <c r="Z64" s="17" t="s">
        <v>151</v>
      </c>
      <c r="AA64" s="17" t="s">
        <v>162</v>
      </c>
      <c r="AB64" s="17" t="s">
        <v>163</v>
      </c>
      <c r="AC64" s="19" t="s">
        <v>68</v>
      </c>
      <c r="AD64" s="20" t="s">
        <v>168</v>
      </c>
      <c r="AE64" s="21" t="s">
        <v>174</v>
      </c>
      <c r="AF64" s="22" t="s">
        <v>182</v>
      </c>
    </row>
    <row r="65" ht="43.5" customHeight="1">
      <c r="A65" s="17" t="s">
        <v>1080</v>
      </c>
      <c r="B65" s="17">
        <v>62.0</v>
      </c>
      <c r="C65" s="17" t="s">
        <v>1062</v>
      </c>
      <c r="D65" s="17">
        <v>5.0</v>
      </c>
      <c r="E65" s="17" t="s">
        <v>1063</v>
      </c>
      <c r="F65" s="17" t="s">
        <v>86</v>
      </c>
      <c r="G65" s="17">
        <v>2.0</v>
      </c>
      <c r="H65" s="17" t="s">
        <v>123</v>
      </c>
      <c r="I65" s="17" t="s">
        <v>1083</v>
      </c>
      <c r="J65" s="17" t="s">
        <v>1084</v>
      </c>
      <c r="K65" s="17" t="s">
        <v>1085</v>
      </c>
      <c r="L65" s="17" t="s">
        <v>1085</v>
      </c>
      <c r="M65" s="17" t="s">
        <v>1069</v>
      </c>
      <c r="N65" s="17"/>
      <c r="O65" s="17" t="s">
        <v>249</v>
      </c>
      <c r="P65" s="17" t="s">
        <v>482</v>
      </c>
      <c r="Q65" s="17" t="s">
        <v>1072</v>
      </c>
      <c r="R65" s="17" t="s">
        <v>484</v>
      </c>
      <c r="S65" s="17" t="s">
        <v>232</v>
      </c>
      <c r="T65" s="17" t="s">
        <v>1089</v>
      </c>
      <c r="U65" s="17" t="s">
        <v>1090</v>
      </c>
      <c r="V65" s="17" t="s">
        <v>1092</v>
      </c>
      <c r="W65" s="17" t="s">
        <v>209</v>
      </c>
      <c r="X65" s="17" t="s">
        <v>1077</v>
      </c>
      <c r="Y65" s="17" t="s">
        <v>1078</v>
      </c>
      <c r="Z65" s="17" t="s">
        <v>151</v>
      </c>
      <c r="AA65" s="17" t="s">
        <v>162</v>
      </c>
      <c r="AB65" s="17" t="s">
        <v>163</v>
      </c>
      <c r="AC65" s="19" t="s">
        <v>68</v>
      </c>
      <c r="AD65" s="20" t="s">
        <v>168</v>
      </c>
      <c r="AE65" s="21" t="s">
        <v>174</v>
      </c>
      <c r="AF65" s="22" t="s">
        <v>182</v>
      </c>
    </row>
    <row r="66" ht="43.5" customHeight="1">
      <c r="A66" s="17" t="s">
        <v>1097</v>
      </c>
      <c r="B66" s="17">
        <v>63.0</v>
      </c>
      <c r="C66" s="17" t="s">
        <v>1062</v>
      </c>
      <c r="D66" s="17">
        <v>5.0</v>
      </c>
      <c r="E66" s="17" t="s">
        <v>1063</v>
      </c>
      <c r="F66" s="17" t="s">
        <v>86</v>
      </c>
      <c r="G66" s="17">
        <v>3.0</v>
      </c>
      <c r="H66" s="17" t="s">
        <v>123</v>
      </c>
      <c r="I66" s="17" t="s">
        <v>1101</v>
      </c>
      <c r="J66" s="17" t="s">
        <v>1102</v>
      </c>
      <c r="K66" s="17" t="s">
        <v>1103</v>
      </c>
      <c r="L66" s="17" t="s">
        <v>1103</v>
      </c>
      <c r="M66" s="17" t="s">
        <v>1085</v>
      </c>
      <c r="N66" s="17"/>
      <c r="O66" s="17" t="s">
        <v>249</v>
      </c>
      <c r="P66" s="17" t="s">
        <v>482</v>
      </c>
      <c r="Q66" s="17" t="s">
        <v>1072</v>
      </c>
      <c r="R66" s="17" t="s">
        <v>484</v>
      </c>
      <c r="S66" s="17" t="s">
        <v>232</v>
      </c>
      <c r="T66" s="17" t="s">
        <v>1105</v>
      </c>
      <c r="U66" s="17" t="s">
        <v>1106</v>
      </c>
      <c r="V66" s="17" t="s">
        <v>1107</v>
      </c>
      <c r="W66" s="17" t="s">
        <v>209</v>
      </c>
      <c r="X66" s="17" t="s">
        <v>1077</v>
      </c>
      <c r="Y66" s="17" t="s">
        <v>1078</v>
      </c>
      <c r="Z66" s="17" t="s">
        <v>151</v>
      </c>
      <c r="AA66" s="17" t="s">
        <v>162</v>
      </c>
      <c r="AB66" s="17" t="s">
        <v>163</v>
      </c>
      <c r="AC66" s="19" t="s">
        <v>68</v>
      </c>
      <c r="AD66" s="20" t="s">
        <v>168</v>
      </c>
      <c r="AE66" s="21" t="s">
        <v>174</v>
      </c>
      <c r="AF66" s="22" t="s">
        <v>182</v>
      </c>
    </row>
    <row r="67" ht="43.5" customHeight="1">
      <c r="A67" s="17" t="s">
        <v>1114</v>
      </c>
      <c r="B67" s="17">
        <v>64.0</v>
      </c>
      <c r="C67" s="17" t="s">
        <v>1062</v>
      </c>
      <c r="D67" s="17">
        <v>5.0</v>
      </c>
      <c r="E67" s="17" t="s">
        <v>1063</v>
      </c>
      <c r="F67" s="17" t="s">
        <v>86</v>
      </c>
      <c r="G67" s="17">
        <v>4.0</v>
      </c>
      <c r="H67" s="17" t="s">
        <v>240</v>
      </c>
      <c r="I67" s="17" t="s">
        <v>1081</v>
      </c>
      <c r="J67" s="17" t="s">
        <v>217</v>
      </c>
      <c r="K67" s="17" t="s">
        <v>218</v>
      </c>
      <c r="L67" s="17" t="s">
        <v>218</v>
      </c>
      <c r="M67" s="17" t="s">
        <v>1082</v>
      </c>
      <c r="N67" s="17" t="s">
        <v>212</v>
      </c>
      <c r="O67" s="17" t="s">
        <v>249</v>
      </c>
      <c r="P67" s="17" t="s">
        <v>252</v>
      </c>
      <c r="Q67" s="17" t="s">
        <v>219</v>
      </c>
      <c r="R67" s="17" t="s">
        <v>484</v>
      </c>
      <c r="S67" s="17" t="s">
        <v>82</v>
      </c>
      <c r="T67" s="17" t="s">
        <v>1086</v>
      </c>
      <c r="U67" s="17" t="s">
        <v>1087</v>
      </c>
      <c r="V67" s="17" t="s">
        <v>1119</v>
      </c>
      <c r="W67" s="17" t="s">
        <v>260</v>
      </c>
      <c r="X67" s="17" t="s">
        <v>1077</v>
      </c>
      <c r="Y67" s="17" t="s">
        <v>261</v>
      </c>
      <c r="Z67" s="17" t="s">
        <v>151</v>
      </c>
      <c r="AA67" s="17" t="s">
        <v>162</v>
      </c>
      <c r="AB67" s="17" t="s">
        <v>1123</v>
      </c>
      <c r="AC67" s="19" t="s">
        <v>68</v>
      </c>
      <c r="AD67" s="20" t="s">
        <v>168</v>
      </c>
      <c r="AE67" s="21" t="s">
        <v>174</v>
      </c>
      <c r="AF67" s="23" t="s">
        <v>272</v>
      </c>
    </row>
    <row r="68" ht="43.5" customHeight="1">
      <c r="A68" s="17" t="s">
        <v>1124</v>
      </c>
      <c r="B68" s="17">
        <v>65.0</v>
      </c>
      <c r="C68" s="17" t="s">
        <v>1062</v>
      </c>
      <c r="D68" s="17">
        <v>5.0</v>
      </c>
      <c r="E68" s="17" t="s">
        <v>1063</v>
      </c>
      <c r="F68" s="17" t="s">
        <v>86</v>
      </c>
      <c r="G68" s="17">
        <v>4.0</v>
      </c>
      <c r="H68" s="17" t="s">
        <v>123</v>
      </c>
      <c r="I68" s="17" t="s">
        <v>1126</v>
      </c>
      <c r="J68" s="17" t="s">
        <v>1128</v>
      </c>
      <c r="K68" s="17" t="s">
        <v>1129</v>
      </c>
      <c r="L68" s="17" t="s">
        <v>1129</v>
      </c>
      <c r="M68" s="17" t="s">
        <v>1103</v>
      </c>
      <c r="N68" s="17"/>
      <c r="O68" s="17" t="s">
        <v>249</v>
      </c>
      <c r="P68" s="17" t="s">
        <v>482</v>
      </c>
      <c r="Q68" s="17" t="s">
        <v>1072</v>
      </c>
      <c r="R68" s="17" t="s">
        <v>484</v>
      </c>
      <c r="S68" s="17" t="s">
        <v>232</v>
      </c>
      <c r="T68" s="17" t="s">
        <v>1132</v>
      </c>
      <c r="U68" s="17" t="s">
        <v>1133</v>
      </c>
      <c r="V68" s="17" t="s">
        <v>1134</v>
      </c>
      <c r="W68" s="17" t="s">
        <v>209</v>
      </c>
      <c r="X68" s="17" t="s">
        <v>1077</v>
      </c>
      <c r="Y68" s="17" t="s">
        <v>1078</v>
      </c>
      <c r="Z68" s="17" t="s">
        <v>151</v>
      </c>
      <c r="AA68" s="17" t="s">
        <v>162</v>
      </c>
      <c r="AB68" s="17" t="s">
        <v>163</v>
      </c>
      <c r="AC68" s="19" t="s">
        <v>68</v>
      </c>
      <c r="AD68" s="20" t="s">
        <v>168</v>
      </c>
      <c r="AE68" s="21" t="s">
        <v>174</v>
      </c>
      <c r="AF68" s="22" t="s">
        <v>182</v>
      </c>
    </row>
    <row r="69" ht="43.5" customHeight="1">
      <c r="A69" s="17" t="s">
        <v>1138</v>
      </c>
      <c r="B69" s="17">
        <v>66.0</v>
      </c>
      <c r="C69" s="17" t="s">
        <v>1062</v>
      </c>
      <c r="D69" s="17">
        <v>5.0</v>
      </c>
      <c r="E69" s="17" t="s">
        <v>1063</v>
      </c>
      <c r="F69" s="17" t="s">
        <v>86</v>
      </c>
      <c r="G69" s="17">
        <v>5.0</v>
      </c>
      <c r="H69" s="17" t="s">
        <v>123</v>
      </c>
      <c r="I69" s="17" t="s">
        <v>1141</v>
      </c>
      <c r="J69" s="17" t="s">
        <v>1142</v>
      </c>
      <c r="K69" s="17" t="s">
        <v>1143</v>
      </c>
      <c r="L69" s="17" t="s">
        <v>1143</v>
      </c>
      <c r="M69" s="17" t="s">
        <v>1129</v>
      </c>
      <c r="N69" s="17"/>
      <c r="O69" s="17" t="s">
        <v>249</v>
      </c>
      <c r="P69" s="17" t="s">
        <v>482</v>
      </c>
      <c r="Q69" s="17" t="s">
        <v>1072</v>
      </c>
      <c r="R69" s="17" t="s">
        <v>484</v>
      </c>
      <c r="S69" s="17" t="s">
        <v>232</v>
      </c>
      <c r="T69" s="17" t="s">
        <v>1145</v>
      </c>
      <c r="U69" s="17" t="s">
        <v>1146</v>
      </c>
      <c r="V69" s="17" t="s">
        <v>1147</v>
      </c>
      <c r="W69" s="17" t="s">
        <v>145</v>
      </c>
      <c r="X69" s="17" t="s">
        <v>1077</v>
      </c>
      <c r="Y69" s="17" t="s">
        <v>1078</v>
      </c>
      <c r="Z69" s="17" t="s">
        <v>151</v>
      </c>
      <c r="AA69" s="17" t="s">
        <v>162</v>
      </c>
      <c r="AB69" s="17" t="s">
        <v>163</v>
      </c>
      <c r="AC69" s="19" t="s">
        <v>68</v>
      </c>
      <c r="AD69" s="20" t="s">
        <v>168</v>
      </c>
      <c r="AE69" s="21" t="s">
        <v>174</v>
      </c>
      <c r="AF69" s="22" t="s">
        <v>182</v>
      </c>
    </row>
    <row r="70" ht="43.5" customHeight="1">
      <c r="A70" s="17" t="s">
        <v>1151</v>
      </c>
      <c r="B70" s="17">
        <v>67.0</v>
      </c>
      <c r="C70" s="17" t="s">
        <v>1062</v>
      </c>
      <c r="D70" s="17">
        <v>5.0</v>
      </c>
      <c r="E70" s="17" t="s">
        <v>1063</v>
      </c>
      <c r="F70" s="17" t="s">
        <v>86</v>
      </c>
      <c r="G70" s="17">
        <v>6.0</v>
      </c>
      <c r="H70" s="17" t="s">
        <v>123</v>
      </c>
      <c r="I70" s="17" t="s">
        <v>1153</v>
      </c>
      <c r="J70" s="17" t="s">
        <v>1154</v>
      </c>
      <c r="K70" s="17" t="s">
        <v>1155</v>
      </c>
      <c r="L70" s="17" t="s">
        <v>1155</v>
      </c>
      <c r="M70" s="17" t="s">
        <v>1143</v>
      </c>
      <c r="N70" s="17"/>
      <c r="O70" s="17" t="s">
        <v>249</v>
      </c>
      <c r="P70" s="17" t="s">
        <v>482</v>
      </c>
      <c r="Q70" s="17" t="s">
        <v>1072</v>
      </c>
      <c r="R70" s="17" t="s">
        <v>484</v>
      </c>
      <c r="S70" s="17" t="s">
        <v>232</v>
      </c>
      <c r="T70" s="17" t="s">
        <v>1156</v>
      </c>
      <c r="U70" s="17" t="s">
        <v>1157</v>
      </c>
      <c r="V70" s="17" t="s">
        <v>1158</v>
      </c>
      <c r="W70" s="17" t="s">
        <v>209</v>
      </c>
      <c r="X70" s="17" t="s">
        <v>1077</v>
      </c>
      <c r="Y70" s="17" t="s">
        <v>1078</v>
      </c>
      <c r="Z70" s="17" t="s">
        <v>151</v>
      </c>
      <c r="AA70" s="17" t="s">
        <v>162</v>
      </c>
      <c r="AB70" s="17" t="s">
        <v>163</v>
      </c>
      <c r="AC70" s="19" t="s">
        <v>68</v>
      </c>
      <c r="AD70" s="20" t="s">
        <v>168</v>
      </c>
      <c r="AE70" s="21" t="s">
        <v>174</v>
      </c>
      <c r="AF70" s="24" t="s">
        <v>315</v>
      </c>
    </row>
    <row r="71" ht="43.5" customHeight="1">
      <c r="A71" s="17" t="s">
        <v>1160</v>
      </c>
      <c r="B71" s="17">
        <v>68.0</v>
      </c>
      <c r="C71" s="17" t="s">
        <v>1062</v>
      </c>
      <c r="D71" s="17">
        <v>5.0</v>
      </c>
      <c r="E71" s="17" t="s">
        <v>1063</v>
      </c>
      <c r="F71" s="17" t="s">
        <v>86</v>
      </c>
      <c r="G71" s="17">
        <v>7.0</v>
      </c>
      <c r="H71" s="17" t="s">
        <v>123</v>
      </c>
      <c r="I71" s="17" t="s">
        <v>1163</v>
      </c>
      <c r="J71" s="17" t="s">
        <v>1164</v>
      </c>
      <c r="K71" s="17" t="s">
        <v>1069</v>
      </c>
      <c r="L71" s="17" t="s">
        <v>1069</v>
      </c>
      <c r="M71" s="17" t="s">
        <v>1155</v>
      </c>
      <c r="N71" s="17"/>
      <c r="O71" s="17" t="s">
        <v>249</v>
      </c>
      <c r="P71" s="17" t="s">
        <v>482</v>
      </c>
      <c r="Q71" s="17" t="s">
        <v>1072</v>
      </c>
      <c r="R71" s="17" t="s">
        <v>484</v>
      </c>
      <c r="S71" s="17" t="s">
        <v>232</v>
      </c>
      <c r="T71" s="17" t="s">
        <v>1074</v>
      </c>
      <c r="U71" s="17" t="s">
        <v>1166</v>
      </c>
      <c r="V71" s="17" t="s">
        <v>1076</v>
      </c>
      <c r="W71" s="17" t="s">
        <v>209</v>
      </c>
      <c r="X71" s="17" t="s">
        <v>1077</v>
      </c>
      <c r="Y71" s="17" t="s">
        <v>1078</v>
      </c>
      <c r="Z71" s="17" t="s">
        <v>151</v>
      </c>
      <c r="AA71" s="17" t="s">
        <v>162</v>
      </c>
      <c r="AB71" s="17" t="s">
        <v>163</v>
      </c>
      <c r="AC71" s="19" t="s">
        <v>68</v>
      </c>
      <c r="AD71" s="20" t="s">
        <v>168</v>
      </c>
      <c r="AE71" s="21" t="s">
        <v>174</v>
      </c>
      <c r="AF71" s="24" t="s">
        <v>315</v>
      </c>
    </row>
    <row r="72" ht="43.5" customHeight="1">
      <c r="A72" s="17" t="s">
        <v>1170</v>
      </c>
      <c r="B72" s="17">
        <v>69.0</v>
      </c>
      <c r="C72" s="17" t="s">
        <v>1062</v>
      </c>
      <c r="D72" s="17">
        <v>5.0</v>
      </c>
      <c r="E72" s="17" t="s">
        <v>1063</v>
      </c>
      <c r="F72" s="17" t="s">
        <v>86</v>
      </c>
      <c r="G72" s="17">
        <v>8.0</v>
      </c>
      <c r="H72" s="17" t="s">
        <v>123</v>
      </c>
      <c r="I72" s="17" t="s">
        <v>1171</v>
      </c>
      <c r="J72" s="17" t="s">
        <v>1172</v>
      </c>
      <c r="K72" s="17" t="s">
        <v>1085</v>
      </c>
      <c r="L72" s="17" t="s">
        <v>1085</v>
      </c>
      <c r="M72" s="17" t="s">
        <v>1069</v>
      </c>
      <c r="N72" s="17"/>
      <c r="O72" s="17" t="s">
        <v>249</v>
      </c>
      <c r="P72" s="17" t="s">
        <v>482</v>
      </c>
      <c r="Q72" s="17" t="s">
        <v>1072</v>
      </c>
      <c r="R72" s="17" t="s">
        <v>484</v>
      </c>
      <c r="S72" s="17" t="s">
        <v>232</v>
      </c>
      <c r="T72" s="17" t="s">
        <v>1089</v>
      </c>
      <c r="U72" s="17" t="s">
        <v>1174</v>
      </c>
      <c r="V72" s="17" t="s">
        <v>1092</v>
      </c>
      <c r="W72" s="17" t="s">
        <v>209</v>
      </c>
      <c r="X72" s="17" t="s">
        <v>1077</v>
      </c>
      <c r="Y72" s="17" t="s">
        <v>1078</v>
      </c>
      <c r="Z72" s="17" t="s">
        <v>151</v>
      </c>
      <c r="AA72" s="17" t="s">
        <v>162</v>
      </c>
      <c r="AB72" s="17" t="s">
        <v>163</v>
      </c>
      <c r="AC72" s="19" t="s">
        <v>68</v>
      </c>
      <c r="AD72" s="20" t="s">
        <v>168</v>
      </c>
      <c r="AE72" s="21" t="s">
        <v>174</v>
      </c>
      <c r="AF72" s="24" t="s">
        <v>315</v>
      </c>
    </row>
    <row r="73" ht="43.5" customHeight="1">
      <c r="A73" s="17" t="s">
        <v>1178</v>
      </c>
      <c r="B73" s="17">
        <v>70.0</v>
      </c>
      <c r="C73" s="17" t="s">
        <v>1062</v>
      </c>
      <c r="D73" s="17">
        <v>5.0</v>
      </c>
      <c r="E73" s="17" t="s">
        <v>1063</v>
      </c>
      <c r="F73" s="17" t="s">
        <v>86</v>
      </c>
      <c r="G73" s="17">
        <v>9.0</v>
      </c>
      <c r="H73" s="17" t="s">
        <v>123</v>
      </c>
      <c r="I73" s="17" t="s">
        <v>1180</v>
      </c>
      <c r="J73" s="17" t="s">
        <v>1181</v>
      </c>
      <c r="K73" s="17" t="s">
        <v>1103</v>
      </c>
      <c r="L73" s="17" t="s">
        <v>1103</v>
      </c>
      <c r="M73" s="17" t="s">
        <v>1085</v>
      </c>
      <c r="N73" s="17"/>
      <c r="O73" s="17" t="s">
        <v>249</v>
      </c>
      <c r="P73" s="17" t="s">
        <v>482</v>
      </c>
      <c r="Q73" s="17" t="s">
        <v>1072</v>
      </c>
      <c r="R73" s="17" t="s">
        <v>484</v>
      </c>
      <c r="S73" s="17" t="s">
        <v>232</v>
      </c>
      <c r="T73" s="17" t="s">
        <v>1105</v>
      </c>
      <c r="U73" s="17" t="s">
        <v>1183</v>
      </c>
      <c r="V73" s="17" t="s">
        <v>1107</v>
      </c>
      <c r="W73" s="17" t="s">
        <v>209</v>
      </c>
      <c r="X73" s="17" t="s">
        <v>1077</v>
      </c>
      <c r="Y73" s="17" t="s">
        <v>1078</v>
      </c>
      <c r="Z73" s="17" t="s">
        <v>151</v>
      </c>
      <c r="AA73" s="17" t="s">
        <v>162</v>
      </c>
      <c r="AB73" s="17" t="s">
        <v>163</v>
      </c>
      <c r="AC73" s="19" t="s">
        <v>68</v>
      </c>
      <c r="AD73" s="20" t="s">
        <v>168</v>
      </c>
      <c r="AE73" s="21" t="s">
        <v>174</v>
      </c>
      <c r="AF73" s="24" t="s">
        <v>315</v>
      </c>
    </row>
    <row r="74" ht="43.5" customHeight="1">
      <c r="A74" s="17" t="s">
        <v>1187</v>
      </c>
      <c r="B74" s="17">
        <v>71.0</v>
      </c>
      <c r="C74" s="17" t="s">
        <v>1062</v>
      </c>
      <c r="D74" s="17">
        <v>5.0</v>
      </c>
      <c r="E74" s="17" t="s">
        <v>1063</v>
      </c>
      <c r="F74" s="17" t="s">
        <v>86</v>
      </c>
      <c r="G74" s="17">
        <v>11.0</v>
      </c>
      <c r="H74" s="17" t="s">
        <v>370</v>
      </c>
      <c r="I74" s="17" t="s">
        <v>1188</v>
      </c>
      <c r="J74" s="17" t="s">
        <v>1189</v>
      </c>
      <c r="K74" s="17" t="s">
        <v>1191</v>
      </c>
      <c r="L74" s="17" t="s">
        <v>1069</v>
      </c>
      <c r="M74" s="17" t="s">
        <v>375</v>
      </c>
      <c r="N74" s="17" t="s">
        <v>376</v>
      </c>
      <c r="O74" s="17" t="s">
        <v>130</v>
      </c>
      <c r="P74" s="17" t="s">
        <v>377</v>
      </c>
      <c r="Q74" s="17" t="s">
        <v>378</v>
      </c>
      <c r="R74" s="17" t="s">
        <v>379</v>
      </c>
      <c r="S74" s="17" t="s">
        <v>232</v>
      </c>
      <c r="T74" s="17" t="s">
        <v>1193</v>
      </c>
      <c r="U74" s="17" t="s">
        <v>1194</v>
      </c>
      <c r="V74" s="17" t="s">
        <v>1195</v>
      </c>
      <c r="W74" s="17" t="s">
        <v>389</v>
      </c>
      <c r="X74" s="17" t="s">
        <v>1077</v>
      </c>
      <c r="Y74" s="17" t="s">
        <v>391</v>
      </c>
      <c r="Z74" s="17" t="s">
        <v>151</v>
      </c>
      <c r="AA74" s="17" t="s">
        <v>162</v>
      </c>
      <c r="AB74" s="17" t="s">
        <v>395</v>
      </c>
      <c r="AC74" s="19" t="s">
        <v>68</v>
      </c>
      <c r="AD74" s="20" t="s">
        <v>168</v>
      </c>
      <c r="AE74" s="21" t="s">
        <v>174</v>
      </c>
      <c r="AF74" s="22" t="s">
        <v>182</v>
      </c>
    </row>
    <row r="75" ht="43.5" customHeight="1">
      <c r="A75" s="17" t="s">
        <v>1196</v>
      </c>
      <c r="B75" s="17">
        <v>72.0</v>
      </c>
      <c r="C75" s="17" t="s">
        <v>1062</v>
      </c>
      <c r="D75" s="17">
        <v>5.0</v>
      </c>
      <c r="E75" s="17" t="s">
        <v>1063</v>
      </c>
      <c r="F75" s="17" t="s">
        <v>86</v>
      </c>
      <c r="G75" s="17">
        <v>10.0</v>
      </c>
      <c r="H75" s="17" t="s">
        <v>123</v>
      </c>
      <c r="I75" s="17" t="s">
        <v>1198</v>
      </c>
      <c r="J75" s="17" t="s">
        <v>1199</v>
      </c>
      <c r="K75" s="17" t="s">
        <v>1129</v>
      </c>
      <c r="L75" s="17" t="s">
        <v>1129</v>
      </c>
      <c r="M75" s="17" t="s">
        <v>1103</v>
      </c>
      <c r="N75" s="17"/>
      <c r="O75" s="17" t="s">
        <v>249</v>
      </c>
      <c r="P75" s="17" t="s">
        <v>482</v>
      </c>
      <c r="Q75" s="17" t="s">
        <v>1072</v>
      </c>
      <c r="R75" s="17" t="s">
        <v>484</v>
      </c>
      <c r="S75" s="17" t="s">
        <v>232</v>
      </c>
      <c r="T75" s="17" t="s">
        <v>1132</v>
      </c>
      <c r="U75" s="17" t="s">
        <v>1203</v>
      </c>
      <c r="V75" s="17" t="s">
        <v>1134</v>
      </c>
      <c r="W75" s="17" t="s">
        <v>417</v>
      </c>
      <c r="X75" s="17" t="s">
        <v>1077</v>
      </c>
      <c r="Y75" s="17" t="s">
        <v>1078</v>
      </c>
      <c r="Z75" s="17" t="s">
        <v>151</v>
      </c>
      <c r="AA75" s="17" t="s">
        <v>162</v>
      </c>
      <c r="AB75" s="17" t="s">
        <v>163</v>
      </c>
      <c r="AC75" s="19" t="s">
        <v>68</v>
      </c>
      <c r="AD75" s="20" t="s">
        <v>168</v>
      </c>
      <c r="AE75" s="21" t="s">
        <v>174</v>
      </c>
      <c r="AF75" s="24" t="s">
        <v>315</v>
      </c>
    </row>
    <row r="76" ht="43.5" customHeight="1">
      <c r="A76" s="17" t="s">
        <v>1208</v>
      </c>
      <c r="B76" s="17">
        <v>73.0</v>
      </c>
      <c r="C76" s="17" t="s">
        <v>1062</v>
      </c>
      <c r="D76" s="17">
        <v>5.0</v>
      </c>
      <c r="E76" s="17" t="s">
        <v>1063</v>
      </c>
      <c r="F76" s="17" t="s">
        <v>86</v>
      </c>
      <c r="G76" s="17">
        <v>11.0</v>
      </c>
      <c r="H76" s="17" t="s">
        <v>123</v>
      </c>
      <c r="I76" s="17" t="s">
        <v>1209</v>
      </c>
      <c r="J76" s="17" t="s">
        <v>1210</v>
      </c>
      <c r="K76" s="17" t="s">
        <v>1143</v>
      </c>
      <c r="L76" s="17" t="s">
        <v>1143</v>
      </c>
      <c r="M76" s="17" t="s">
        <v>1129</v>
      </c>
      <c r="N76" s="17"/>
      <c r="O76" s="17" t="s">
        <v>249</v>
      </c>
      <c r="P76" s="17" t="s">
        <v>482</v>
      </c>
      <c r="Q76" s="17" t="s">
        <v>1072</v>
      </c>
      <c r="R76" s="17" t="s">
        <v>484</v>
      </c>
      <c r="S76" s="17" t="s">
        <v>232</v>
      </c>
      <c r="T76" s="17" t="s">
        <v>1145</v>
      </c>
      <c r="U76" s="17" t="s">
        <v>1211</v>
      </c>
      <c r="V76" s="17" t="s">
        <v>1147</v>
      </c>
      <c r="W76" s="17" t="s">
        <v>437</v>
      </c>
      <c r="X76" s="17" t="s">
        <v>1077</v>
      </c>
      <c r="Y76" s="17" t="s">
        <v>1078</v>
      </c>
      <c r="Z76" s="17" t="s">
        <v>151</v>
      </c>
      <c r="AA76" s="17" t="s">
        <v>162</v>
      </c>
      <c r="AB76" s="17" t="s">
        <v>163</v>
      </c>
      <c r="AC76" s="19" t="s">
        <v>68</v>
      </c>
      <c r="AD76" s="20" t="s">
        <v>168</v>
      </c>
      <c r="AE76" s="21" t="s">
        <v>174</v>
      </c>
      <c r="AF76" s="22" t="s">
        <v>182</v>
      </c>
    </row>
    <row r="77" ht="43.5" customHeight="1">
      <c r="A77" s="17" t="s">
        <v>1212</v>
      </c>
      <c r="B77" s="17">
        <v>74.0</v>
      </c>
      <c r="C77" s="17" t="s">
        <v>1062</v>
      </c>
      <c r="D77" s="17">
        <v>5.0</v>
      </c>
      <c r="E77" s="17" t="s">
        <v>1063</v>
      </c>
      <c r="F77" s="17" t="s">
        <v>86</v>
      </c>
      <c r="G77" s="17">
        <v>12.0</v>
      </c>
      <c r="H77" s="17" t="s">
        <v>123</v>
      </c>
      <c r="I77" s="17" t="s">
        <v>1213</v>
      </c>
      <c r="J77" s="17" t="s">
        <v>1214</v>
      </c>
      <c r="K77" s="17" t="s">
        <v>1155</v>
      </c>
      <c r="L77" s="17" t="s">
        <v>1155</v>
      </c>
      <c r="M77" s="17" t="s">
        <v>1143</v>
      </c>
      <c r="N77" s="17"/>
      <c r="O77" s="17" t="s">
        <v>249</v>
      </c>
      <c r="P77" s="17" t="s">
        <v>482</v>
      </c>
      <c r="Q77" s="17" t="s">
        <v>1072</v>
      </c>
      <c r="R77" s="17" t="s">
        <v>484</v>
      </c>
      <c r="S77" s="17" t="s">
        <v>232</v>
      </c>
      <c r="T77" s="17" t="s">
        <v>1156</v>
      </c>
      <c r="U77" s="17" t="s">
        <v>1216</v>
      </c>
      <c r="V77" s="17" t="s">
        <v>1158</v>
      </c>
      <c r="W77" s="17" t="s">
        <v>452</v>
      </c>
      <c r="X77" s="17" t="s">
        <v>1077</v>
      </c>
      <c r="Y77" s="17" t="s">
        <v>1078</v>
      </c>
      <c r="Z77" s="17" t="s">
        <v>151</v>
      </c>
      <c r="AA77" s="17" t="s">
        <v>162</v>
      </c>
      <c r="AB77" s="17" t="s">
        <v>163</v>
      </c>
      <c r="AC77" s="19" t="s">
        <v>68</v>
      </c>
      <c r="AD77" s="20" t="s">
        <v>168</v>
      </c>
      <c r="AE77" s="21" t="s">
        <v>174</v>
      </c>
      <c r="AF77" s="22" t="s">
        <v>182</v>
      </c>
    </row>
    <row r="78" ht="43.5" customHeight="1">
      <c r="A78" s="17" t="s">
        <v>1220</v>
      </c>
      <c r="B78" s="17">
        <v>75.0</v>
      </c>
      <c r="C78" s="17" t="s">
        <v>1062</v>
      </c>
      <c r="D78" s="17">
        <v>5.0</v>
      </c>
      <c r="E78" s="17" t="s">
        <v>1063</v>
      </c>
      <c r="F78" s="17" t="s">
        <v>86</v>
      </c>
      <c r="G78" s="17">
        <v>15.0</v>
      </c>
      <c r="H78" s="17" t="s">
        <v>370</v>
      </c>
      <c r="I78" s="17" t="s">
        <v>1225</v>
      </c>
      <c r="J78" s="17" t="s">
        <v>1226</v>
      </c>
      <c r="K78" s="17" t="s">
        <v>1227</v>
      </c>
      <c r="L78" s="17" t="s">
        <v>1085</v>
      </c>
      <c r="M78" s="17" t="s">
        <v>375</v>
      </c>
      <c r="N78" s="17" t="s">
        <v>376</v>
      </c>
      <c r="O78" s="17" t="s">
        <v>130</v>
      </c>
      <c r="P78" s="17" t="s">
        <v>377</v>
      </c>
      <c r="Q78" s="17" t="s">
        <v>378</v>
      </c>
      <c r="R78" s="17" t="s">
        <v>379</v>
      </c>
      <c r="S78" s="17" t="s">
        <v>232</v>
      </c>
      <c r="T78" s="17" t="s">
        <v>1229</v>
      </c>
      <c r="U78" s="17" t="s">
        <v>1230</v>
      </c>
      <c r="V78" s="17" t="s">
        <v>1231</v>
      </c>
      <c r="W78" s="17" t="s">
        <v>389</v>
      </c>
      <c r="X78" s="17" t="s">
        <v>1077</v>
      </c>
      <c r="Y78" s="17" t="s">
        <v>391</v>
      </c>
      <c r="Z78" s="17" t="s">
        <v>151</v>
      </c>
      <c r="AA78" s="17" t="s">
        <v>162</v>
      </c>
      <c r="AB78" s="17" t="s">
        <v>395</v>
      </c>
      <c r="AC78" s="19" t="s">
        <v>68</v>
      </c>
      <c r="AD78" s="20" t="s">
        <v>168</v>
      </c>
      <c r="AE78" s="21" t="s">
        <v>174</v>
      </c>
      <c r="AF78" s="22" t="s">
        <v>182</v>
      </c>
    </row>
    <row r="79" ht="43.5" customHeight="1">
      <c r="A79" s="17" t="s">
        <v>1238</v>
      </c>
      <c r="B79" s="17">
        <v>76.0</v>
      </c>
      <c r="C79" s="17" t="s">
        <v>1062</v>
      </c>
      <c r="D79" s="17">
        <v>5.0</v>
      </c>
      <c r="E79" s="17" t="s">
        <v>1063</v>
      </c>
      <c r="F79" s="17" t="s">
        <v>86</v>
      </c>
      <c r="G79" s="17">
        <v>16.0</v>
      </c>
      <c r="H79" s="17" t="s">
        <v>460</v>
      </c>
      <c r="I79" s="17" t="s">
        <v>1239</v>
      </c>
      <c r="J79" s="17" t="s">
        <v>462</v>
      </c>
      <c r="K79" s="17" t="s">
        <v>463</v>
      </c>
      <c r="L79" s="17" t="s">
        <v>464</v>
      </c>
      <c r="M79" s="17" t="s">
        <v>465</v>
      </c>
      <c r="N79" s="17" t="s">
        <v>466</v>
      </c>
      <c r="O79" s="17" t="s">
        <v>130</v>
      </c>
      <c r="P79" s="17" t="s">
        <v>133</v>
      </c>
      <c r="Q79" s="17" t="s">
        <v>467</v>
      </c>
      <c r="R79" s="17" t="s">
        <v>379</v>
      </c>
      <c r="S79" s="17" t="s">
        <v>82</v>
      </c>
      <c r="T79" s="17" t="s">
        <v>469</v>
      </c>
      <c r="U79" s="17" t="s">
        <v>1216</v>
      </c>
      <c r="V79" s="17" t="s">
        <v>470</v>
      </c>
      <c r="W79" s="17" t="s">
        <v>471</v>
      </c>
      <c r="X79" s="17" t="s">
        <v>1077</v>
      </c>
      <c r="Y79" s="17" t="s">
        <v>472</v>
      </c>
      <c r="Z79" s="17" t="s">
        <v>151</v>
      </c>
      <c r="AA79" s="17" t="s">
        <v>162</v>
      </c>
      <c r="AB79" s="17" t="s">
        <v>473</v>
      </c>
      <c r="AC79" s="19" t="s">
        <v>68</v>
      </c>
      <c r="AD79" s="20" t="s">
        <v>168</v>
      </c>
      <c r="AE79" s="21" t="s">
        <v>174</v>
      </c>
      <c r="AF79" s="24" t="s">
        <v>315</v>
      </c>
    </row>
    <row r="80" ht="43.5" customHeight="1">
      <c r="A80" s="17" t="s">
        <v>1246</v>
      </c>
      <c r="B80" s="17">
        <v>77.0</v>
      </c>
      <c r="C80" s="17" t="s">
        <v>1248</v>
      </c>
      <c r="D80" s="17">
        <v>6.0</v>
      </c>
      <c r="E80" s="17" t="s">
        <v>1249</v>
      </c>
      <c r="F80" s="17" t="s">
        <v>276</v>
      </c>
      <c r="G80" s="17">
        <v>1.0</v>
      </c>
      <c r="H80" s="17" t="s">
        <v>123</v>
      </c>
      <c r="I80" s="17" t="s">
        <v>1251</v>
      </c>
      <c r="J80" s="17" t="s">
        <v>1252</v>
      </c>
      <c r="K80" s="17" t="s">
        <v>1253</v>
      </c>
      <c r="L80" s="17" t="s">
        <v>1253</v>
      </c>
      <c r="M80" s="17" t="s">
        <v>128</v>
      </c>
      <c r="N80" s="17"/>
      <c r="O80" s="17" t="s">
        <v>324</v>
      </c>
      <c r="P80" s="17" t="s">
        <v>878</v>
      </c>
      <c r="Q80" s="17" t="s">
        <v>1257</v>
      </c>
      <c r="R80" s="17" t="s">
        <v>610</v>
      </c>
      <c r="S80" s="17" t="s">
        <v>29</v>
      </c>
      <c r="T80" s="17" t="s">
        <v>1258</v>
      </c>
      <c r="U80" s="17" t="s">
        <v>1259</v>
      </c>
      <c r="V80" s="17" t="s">
        <v>1260</v>
      </c>
      <c r="W80" s="17" t="s">
        <v>145</v>
      </c>
      <c r="X80" s="17" t="s">
        <v>1262</v>
      </c>
      <c r="Y80" s="17" t="s">
        <v>1264</v>
      </c>
      <c r="Z80" s="17" t="s">
        <v>151</v>
      </c>
      <c r="AA80" s="17" t="s">
        <v>162</v>
      </c>
      <c r="AB80" s="17" t="s">
        <v>163</v>
      </c>
      <c r="AC80" s="19" t="s">
        <v>68</v>
      </c>
      <c r="AD80" s="20" t="s">
        <v>168</v>
      </c>
      <c r="AE80" s="21" t="s">
        <v>174</v>
      </c>
      <c r="AF80" s="22" t="s">
        <v>182</v>
      </c>
    </row>
    <row r="81" ht="43.5" customHeight="1">
      <c r="A81" s="17" t="s">
        <v>1266</v>
      </c>
      <c r="B81" s="17">
        <v>78.0</v>
      </c>
      <c r="C81" s="17" t="s">
        <v>1248</v>
      </c>
      <c r="D81" s="17">
        <v>6.0</v>
      </c>
      <c r="E81" s="17" t="s">
        <v>1249</v>
      </c>
      <c r="F81" s="17" t="s">
        <v>276</v>
      </c>
      <c r="G81" s="17">
        <v>2.0</v>
      </c>
      <c r="H81" s="17" t="s">
        <v>123</v>
      </c>
      <c r="I81" s="17" t="s">
        <v>1271</v>
      </c>
      <c r="J81" s="17" t="s">
        <v>1272</v>
      </c>
      <c r="K81" s="17" t="s">
        <v>1273</v>
      </c>
      <c r="L81" s="17" t="s">
        <v>1273</v>
      </c>
      <c r="M81" s="17" t="s">
        <v>1253</v>
      </c>
      <c r="N81" s="17"/>
      <c r="O81" s="17" t="s">
        <v>324</v>
      </c>
      <c r="P81" s="17" t="s">
        <v>878</v>
      </c>
      <c r="Q81" s="17" t="s">
        <v>1257</v>
      </c>
      <c r="R81" s="17" t="s">
        <v>610</v>
      </c>
      <c r="S81" s="17" t="s">
        <v>29</v>
      </c>
      <c r="T81" s="17" t="s">
        <v>1277</v>
      </c>
      <c r="U81" s="17" t="s">
        <v>1278</v>
      </c>
      <c r="V81" s="17" t="s">
        <v>1279</v>
      </c>
      <c r="W81" s="17" t="s">
        <v>209</v>
      </c>
      <c r="X81" s="17" t="s">
        <v>1262</v>
      </c>
      <c r="Y81" s="17" t="s">
        <v>1264</v>
      </c>
      <c r="Z81" s="17" t="s">
        <v>151</v>
      </c>
      <c r="AA81" s="17" t="s">
        <v>162</v>
      </c>
      <c r="AB81" s="17" t="s">
        <v>163</v>
      </c>
      <c r="AC81" s="19" t="s">
        <v>68</v>
      </c>
      <c r="AD81" s="20" t="s">
        <v>168</v>
      </c>
      <c r="AE81" s="21" t="s">
        <v>174</v>
      </c>
      <c r="AF81" s="22" t="s">
        <v>182</v>
      </c>
    </row>
    <row r="82" ht="43.5" customHeight="1">
      <c r="A82" s="17" t="s">
        <v>1284</v>
      </c>
      <c r="B82" s="17">
        <v>79.0</v>
      </c>
      <c r="C82" s="17" t="s">
        <v>1248</v>
      </c>
      <c r="D82" s="17">
        <v>6.0</v>
      </c>
      <c r="E82" s="17" t="s">
        <v>1249</v>
      </c>
      <c r="F82" s="17" t="s">
        <v>276</v>
      </c>
      <c r="G82" s="17">
        <v>3.0</v>
      </c>
      <c r="H82" s="17" t="s">
        <v>123</v>
      </c>
      <c r="I82" s="17" t="s">
        <v>1288</v>
      </c>
      <c r="J82" s="17" t="s">
        <v>1289</v>
      </c>
      <c r="K82" s="17" t="s">
        <v>1290</v>
      </c>
      <c r="L82" s="17" t="s">
        <v>1290</v>
      </c>
      <c r="M82" s="17" t="s">
        <v>1273</v>
      </c>
      <c r="N82" s="17"/>
      <c r="O82" s="17" t="s">
        <v>324</v>
      </c>
      <c r="P82" s="17" t="s">
        <v>878</v>
      </c>
      <c r="Q82" s="17" t="s">
        <v>1257</v>
      </c>
      <c r="R82" s="17" t="s">
        <v>610</v>
      </c>
      <c r="S82" s="17" t="s">
        <v>29</v>
      </c>
      <c r="T82" s="17" t="s">
        <v>1292</v>
      </c>
      <c r="U82" s="17" t="s">
        <v>1293</v>
      </c>
      <c r="V82" s="17" t="s">
        <v>1294</v>
      </c>
      <c r="W82" s="17" t="s">
        <v>209</v>
      </c>
      <c r="X82" s="17" t="s">
        <v>1262</v>
      </c>
      <c r="Y82" s="17" t="s">
        <v>1264</v>
      </c>
      <c r="Z82" s="17" t="s">
        <v>151</v>
      </c>
      <c r="AA82" s="17" t="s">
        <v>162</v>
      </c>
      <c r="AB82" s="17" t="s">
        <v>163</v>
      </c>
      <c r="AC82" s="19" t="s">
        <v>68</v>
      </c>
      <c r="AD82" s="20" t="s">
        <v>168</v>
      </c>
      <c r="AE82" s="21" t="s">
        <v>174</v>
      </c>
      <c r="AF82" s="22" t="s">
        <v>182</v>
      </c>
    </row>
    <row r="83" ht="43.5" customHeight="1">
      <c r="A83" s="17" t="s">
        <v>1296</v>
      </c>
      <c r="B83" s="17">
        <v>80.0</v>
      </c>
      <c r="C83" s="17" t="s">
        <v>1248</v>
      </c>
      <c r="D83" s="17">
        <v>6.0</v>
      </c>
      <c r="E83" s="17" t="s">
        <v>1249</v>
      </c>
      <c r="F83" s="17" t="s">
        <v>276</v>
      </c>
      <c r="G83" s="17">
        <v>4.0</v>
      </c>
      <c r="H83" s="17" t="s">
        <v>240</v>
      </c>
      <c r="I83" s="17" t="s">
        <v>930</v>
      </c>
      <c r="J83" s="17" t="s">
        <v>278</v>
      </c>
      <c r="K83" s="17" t="s">
        <v>279</v>
      </c>
      <c r="L83" s="17" t="s">
        <v>279</v>
      </c>
      <c r="M83" s="17" t="s">
        <v>932</v>
      </c>
      <c r="N83" s="17" t="s">
        <v>275</v>
      </c>
      <c r="O83" s="17" t="s">
        <v>249</v>
      </c>
      <c r="P83" s="17" t="s">
        <v>252</v>
      </c>
      <c r="Q83" s="17" t="s">
        <v>280</v>
      </c>
      <c r="R83" s="17" t="s">
        <v>610</v>
      </c>
      <c r="S83" s="17" t="s">
        <v>29</v>
      </c>
      <c r="T83" s="17" t="s">
        <v>933</v>
      </c>
      <c r="U83" s="17" t="s">
        <v>935</v>
      </c>
      <c r="V83" s="17" t="s">
        <v>1301</v>
      </c>
      <c r="W83" s="17" t="s">
        <v>260</v>
      </c>
      <c r="X83" s="17" t="s">
        <v>1262</v>
      </c>
      <c r="Y83" s="17" t="s">
        <v>261</v>
      </c>
      <c r="Z83" s="17" t="s">
        <v>151</v>
      </c>
      <c r="AA83" s="17" t="s">
        <v>162</v>
      </c>
      <c r="AB83" s="17" t="s">
        <v>1303</v>
      </c>
      <c r="AC83" s="19" t="s">
        <v>68</v>
      </c>
      <c r="AD83" s="20" t="s">
        <v>168</v>
      </c>
      <c r="AE83" s="21" t="s">
        <v>174</v>
      </c>
      <c r="AF83" s="23" t="s">
        <v>272</v>
      </c>
    </row>
    <row r="84" ht="43.5" customHeight="1">
      <c r="A84" s="17" t="s">
        <v>1306</v>
      </c>
      <c r="B84" s="17">
        <v>81.0</v>
      </c>
      <c r="C84" s="17" t="s">
        <v>1248</v>
      </c>
      <c r="D84" s="17">
        <v>6.0</v>
      </c>
      <c r="E84" s="17" t="s">
        <v>1249</v>
      </c>
      <c r="F84" s="17" t="s">
        <v>276</v>
      </c>
      <c r="G84" s="17">
        <v>4.0</v>
      </c>
      <c r="H84" s="17" t="s">
        <v>123</v>
      </c>
      <c r="I84" s="17" t="s">
        <v>1308</v>
      </c>
      <c r="J84" s="17" t="s">
        <v>1309</v>
      </c>
      <c r="K84" s="17" t="s">
        <v>1310</v>
      </c>
      <c r="L84" s="17" t="s">
        <v>1310</v>
      </c>
      <c r="M84" s="17" t="s">
        <v>1290</v>
      </c>
      <c r="N84" s="17"/>
      <c r="O84" s="17" t="s">
        <v>324</v>
      </c>
      <c r="P84" s="17" t="s">
        <v>878</v>
      </c>
      <c r="Q84" s="17" t="s">
        <v>1257</v>
      </c>
      <c r="R84" s="17" t="s">
        <v>610</v>
      </c>
      <c r="S84" s="17" t="s">
        <v>29</v>
      </c>
      <c r="T84" s="17" t="s">
        <v>1312</v>
      </c>
      <c r="U84" s="17" t="s">
        <v>1313</v>
      </c>
      <c r="V84" s="17" t="s">
        <v>1314</v>
      </c>
      <c r="W84" s="17" t="s">
        <v>209</v>
      </c>
      <c r="X84" s="17" t="s">
        <v>1262</v>
      </c>
      <c r="Y84" s="17" t="s">
        <v>1264</v>
      </c>
      <c r="Z84" s="17" t="s">
        <v>151</v>
      </c>
      <c r="AA84" s="17" t="s">
        <v>162</v>
      </c>
      <c r="AB84" s="17" t="s">
        <v>163</v>
      </c>
      <c r="AC84" s="19" t="s">
        <v>68</v>
      </c>
      <c r="AD84" s="20" t="s">
        <v>168</v>
      </c>
      <c r="AE84" s="21" t="s">
        <v>174</v>
      </c>
      <c r="AF84" s="22" t="s">
        <v>182</v>
      </c>
    </row>
    <row r="85" ht="43.5" customHeight="1">
      <c r="A85" s="17" t="s">
        <v>1317</v>
      </c>
      <c r="B85" s="17">
        <v>82.0</v>
      </c>
      <c r="C85" s="17" t="s">
        <v>1248</v>
      </c>
      <c r="D85" s="17">
        <v>6.0</v>
      </c>
      <c r="E85" s="17" t="s">
        <v>1249</v>
      </c>
      <c r="F85" s="17" t="s">
        <v>276</v>
      </c>
      <c r="G85" s="17">
        <v>5.0</v>
      </c>
      <c r="H85" s="17" t="s">
        <v>123</v>
      </c>
      <c r="I85" s="17" t="s">
        <v>1319</v>
      </c>
      <c r="J85" s="17" t="s">
        <v>1320</v>
      </c>
      <c r="K85" s="17" t="s">
        <v>1321</v>
      </c>
      <c r="L85" s="17" t="s">
        <v>1321</v>
      </c>
      <c r="M85" s="17" t="s">
        <v>1310</v>
      </c>
      <c r="N85" s="17"/>
      <c r="O85" s="17" t="s">
        <v>324</v>
      </c>
      <c r="P85" s="17" t="s">
        <v>878</v>
      </c>
      <c r="Q85" s="17" t="s">
        <v>1257</v>
      </c>
      <c r="R85" s="17" t="s">
        <v>610</v>
      </c>
      <c r="S85" s="17" t="s">
        <v>29</v>
      </c>
      <c r="T85" s="17" t="s">
        <v>1324</v>
      </c>
      <c r="U85" s="17" t="s">
        <v>1325</v>
      </c>
      <c r="V85" s="17" t="s">
        <v>1326</v>
      </c>
      <c r="W85" s="17" t="s">
        <v>145</v>
      </c>
      <c r="X85" s="17" t="s">
        <v>1262</v>
      </c>
      <c r="Y85" s="17" t="s">
        <v>1264</v>
      </c>
      <c r="Z85" s="17" t="s">
        <v>151</v>
      </c>
      <c r="AA85" s="17" t="s">
        <v>162</v>
      </c>
      <c r="AB85" s="17" t="s">
        <v>163</v>
      </c>
      <c r="AC85" s="19" t="s">
        <v>68</v>
      </c>
      <c r="AD85" s="20" t="s">
        <v>168</v>
      </c>
      <c r="AE85" s="21" t="s">
        <v>174</v>
      </c>
      <c r="AF85" s="22" t="s">
        <v>182</v>
      </c>
    </row>
    <row r="86" ht="43.5" customHeight="1">
      <c r="A86" s="17" t="s">
        <v>1332</v>
      </c>
      <c r="B86" s="17">
        <v>83.0</v>
      </c>
      <c r="C86" s="17" t="s">
        <v>1248</v>
      </c>
      <c r="D86" s="17">
        <v>6.0</v>
      </c>
      <c r="E86" s="17" t="s">
        <v>1249</v>
      </c>
      <c r="F86" s="17" t="s">
        <v>276</v>
      </c>
      <c r="G86" s="17">
        <v>6.0</v>
      </c>
      <c r="H86" s="17" t="s">
        <v>123</v>
      </c>
      <c r="I86" s="17" t="s">
        <v>1336</v>
      </c>
      <c r="J86" s="17" t="s">
        <v>1337</v>
      </c>
      <c r="K86" s="17" t="s">
        <v>1338</v>
      </c>
      <c r="L86" s="17" t="s">
        <v>1338</v>
      </c>
      <c r="M86" s="17" t="s">
        <v>1321</v>
      </c>
      <c r="N86" s="17"/>
      <c r="O86" s="17" t="s">
        <v>324</v>
      </c>
      <c r="P86" s="17" t="s">
        <v>878</v>
      </c>
      <c r="Q86" s="17" t="s">
        <v>1257</v>
      </c>
      <c r="R86" s="17" t="s">
        <v>610</v>
      </c>
      <c r="S86" s="17" t="s">
        <v>29</v>
      </c>
      <c r="T86" s="17" t="s">
        <v>1340</v>
      </c>
      <c r="U86" s="17" t="s">
        <v>1341</v>
      </c>
      <c r="V86" s="17" t="s">
        <v>1342</v>
      </c>
      <c r="W86" s="17" t="s">
        <v>209</v>
      </c>
      <c r="X86" s="17" t="s">
        <v>1262</v>
      </c>
      <c r="Y86" s="17" t="s">
        <v>1264</v>
      </c>
      <c r="Z86" s="17" t="s">
        <v>151</v>
      </c>
      <c r="AA86" s="17" t="s">
        <v>162</v>
      </c>
      <c r="AB86" s="17" t="s">
        <v>163</v>
      </c>
      <c r="AC86" s="19" t="s">
        <v>68</v>
      </c>
      <c r="AD86" s="20" t="s">
        <v>168</v>
      </c>
      <c r="AE86" s="21" t="s">
        <v>174</v>
      </c>
      <c r="AF86" s="24" t="s">
        <v>315</v>
      </c>
    </row>
    <row r="87" ht="43.5" customHeight="1">
      <c r="A87" s="17" t="s">
        <v>1343</v>
      </c>
      <c r="B87" s="17">
        <v>84.0</v>
      </c>
      <c r="C87" s="17" t="s">
        <v>1248</v>
      </c>
      <c r="D87" s="17">
        <v>6.0</v>
      </c>
      <c r="E87" s="17" t="s">
        <v>1249</v>
      </c>
      <c r="F87" s="17" t="s">
        <v>276</v>
      </c>
      <c r="G87" s="17">
        <v>7.0</v>
      </c>
      <c r="H87" s="17" t="s">
        <v>123</v>
      </c>
      <c r="I87" s="17" t="s">
        <v>1346</v>
      </c>
      <c r="J87" s="17" t="s">
        <v>1348</v>
      </c>
      <c r="K87" s="17" t="s">
        <v>1253</v>
      </c>
      <c r="L87" s="17" t="s">
        <v>1253</v>
      </c>
      <c r="M87" s="17" t="s">
        <v>1338</v>
      </c>
      <c r="N87" s="17"/>
      <c r="O87" s="17" t="s">
        <v>324</v>
      </c>
      <c r="P87" s="17" t="s">
        <v>878</v>
      </c>
      <c r="Q87" s="17" t="s">
        <v>1257</v>
      </c>
      <c r="R87" s="17" t="s">
        <v>610</v>
      </c>
      <c r="S87" s="17" t="s">
        <v>29</v>
      </c>
      <c r="T87" s="17" t="s">
        <v>1258</v>
      </c>
      <c r="U87" s="17" t="s">
        <v>1350</v>
      </c>
      <c r="V87" s="17" t="s">
        <v>1260</v>
      </c>
      <c r="W87" s="17" t="s">
        <v>209</v>
      </c>
      <c r="X87" s="17" t="s">
        <v>1262</v>
      </c>
      <c r="Y87" s="17" t="s">
        <v>1264</v>
      </c>
      <c r="Z87" s="17" t="s">
        <v>151</v>
      </c>
      <c r="AA87" s="17" t="s">
        <v>162</v>
      </c>
      <c r="AB87" s="17" t="s">
        <v>163</v>
      </c>
      <c r="AC87" s="19" t="s">
        <v>68</v>
      </c>
      <c r="AD87" s="20" t="s">
        <v>168</v>
      </c>
      <c r="AE87" s="21" t="s">
        <v>174</v>
      </c>
      <c r="AF87" s="24" t="s">
        <v>315</v>
      </c>
    </row>
    <row r="88" ht="43.5" customHeight="1">
      <c r="A88" s="17" t="s">
        <v>1353</v>
      </c>
      <c r="B88" s="17">
        <v>85.0</v>
      </c>
      <c r="C88" s="17" t="s">
        <v>1248</v>
      </c>
      <c r="D88" s="17">
        <v>6.0</v>
      </c>
      <c r="E88" s="17" t="s">
        <v>1249</v>
      </c>
      <c r="F88" s="17" t="s">
        <v>276</v>
      </c>
      <c r="G88" s="17">
        <v>8.0</v>
      </c>
      <c r="H88" s="17" t="s">
        <v>123</v>
      </c>
      <c r="I88" s="17" t="s">
        <v>1356</v>
      </c>
      <c r="J88" s="17" t="s">
        <v>1357</v>
      </c>
      <c r="K88" s="17" t="s">
        <v>1273</v>
      </c>
      <c r="L88" s="17" t="s">
        <v>1273</v>
      </c>
      <c r="M88" s="17" t="s">
        <v>1253</v>
      </c>
      <c r="N88" s="17"/>
      <c r="O88" s="17" t="s">
        <v>324</v>
      </c>
      <c r="P88" s="17" t="s">
        <v>878</v>
      </c>
      <c r="Q88" s="17" t="s">
        <v>1257</v>
      </c>
      <c r="R88" s="17" t="s">
        <v>610</v>
      </c>
      <c r="S88" s="17" t="s">
        <v>29</v>
      </c>
      <c r="T88" s="17" t="s">
        <v>1277</v>
      </c>
      <c r="U88" s="17" t="s">
        <v>1359</v>
      </c>
      <c r="V88" s="17" t="s">
        <v>1279</v>
      </c>
      <c r="W88" s="17" t="s">
        <v>209</v>
      </c>
      <c r="X88" s="17" t="s">
        <v>1262</v>
      </c>
      <c r="Y88" s="17" t="s">
        <v>1264</v>
      </c>
      <c r="Z88" s="17" t="s">
        <v>151</v>
      </c>
      <c r="AA88" s="17" t="s">
        <v>162</v>
      </c>
      <c r="AB88" s="17" t="s">
        <v>163</v>
      </c>
      <c r="AC88" s="19" t="s">
        <v>68</v>
      </c>
      <c r="AD88" s="20" t="s">
        <v>168</v>
      </c>
      <c r="AE88" s="21" t="s">
        <v>174</v>
      </c>
      <c r="AF88" s="24" t="s">
        <v>315</v>
      </c>
    </row>
    <row r="89" ht="43.5" customHeight="1">
      <c r="A89" s="17" t="s">
        <v>1361</v>
      </c>
      <c r="B89" s="17">
        <v>86.0</v>
      </c>
      <c r="C89" s="17" t="s">
        <v>1248</v>
      </c>
      <c r="D89" s="17">
        <v>6.0</v>
      </c>
      <c r="E89" s="17" t="s">
        <v>1249</v>
      </c>
      <c r="F89" s="17" t="s">
        <v>276</v>
      </c>
      <c r="G89" s="17">
        <v>9.0</v>
      </c>
      <c r="H89" s="17" t="s">
        <v>123</v>
      </c>
      <c r="I89" s="17" t="s">
        <v>1362</v>
      </c>
      <c r="J89" s="17" t="s">
        <v>1363</v>
      </c>
      <c r="K89" s="17" t="s">
        <v>1290</v>
      </c>
      <c r="L89" s="17" t="s">
        <v>1290</v>
      </c>
      <c r="M89" s="17" t="s">
        <v>1273</v>
      </c>
      <c r="N89" s="17"/>
      <c r="O89" s="17" t="s">
        <v>324</v>
      </c>
      <c r="P89" s="17" t="s">
        <v>878</v>
      </c>
      <c r="Q89" s="17" t="s">
        <v>1257</v>
      </c>
      <c r="R89" s="17" t="s">
        <v>610</v>
      </c>
      <c r="S89" s="17" t="s">
        <v>29</v>
      </c>
      <c r="T89" s="17" t="s">
        <v>1292</v>
      </c>
      <c r="U89" s="17" t="s">
        <v>1364</v>
      </c>
      <c r="V89" s="17" t="s">
        <v>1294</v>
      </c>
      <c r="W89" s="17" t="s">
        <v>209</v>
      </c>
      <c r="X89" s="17" t="s">
        <v>1262</v>
      </c>
      <c r="Y89" s="17" t="s">
        <v>1264</v>
      </c>
      <c r="Z89" s="17" t="s">
        <v>151</v>
      </c>
      <c r="AA89" s="17" t="s">
        <v>162</v>
      </c>
      <c r="AB89" s="17" t="s">
        <v>163</v>
      </c>
      <c r="AC89" s="19" t="s">
        <v>68</v>
      </c>
      <c r="AD89" s="20" t="s">
        <v>168</v>
      </c>
      <c r="AE89" s="21" t="s">
        <v>174</v>
      </c>
      <c r="AF89" s="24" t="s">
        <v>315</v>
      </c>
    </row>
    <row r="90" ht="43.5" customHeight="1">
      <c r="A90" s="17" t="s">
        <v>1371</v>
      </c>
      <c r="B90" s="17">
        <v>87.0</v>
      </c>
      <c r="C90" s="17" t="s">
        <v>1248</v>
      </c>
      <c r="D90" s="17">
        <v>6.0</v>
      </c>
      <c r="E90" s="17" t="s">
        <v>1249</v>
      </c>
      <c r="F90" s="17" t="s">
        <v>276</v>
      </c>
      <c r="G90" s="17">
        <v>11.0</v>
      </c>
      <c r="H90" s="17" t="s">
        <v>370</v>
      </c>
      <c r="I90" s="17" t="s">
        <v>1377</v>
      </c>
      <c r="J90" s="17" t="s">
        <v>1379</v>
      </c>
      <c r="K90" s="17" t="s">
        <v>1380</v>
      </c>
      <c r="L90" s="17" t="s">
        <v>1253</v>
      </c>
      <c r="M90" s="17" t="s">
        <v>375</v>
      </c>
      <c r="N90" s="17" t="s">
        <v>376</v>
      </c>
      <c r="O90" s="17" t="s">
        <v>130</v>
      </c>
      <c r="P90" s="17" t="s">
        <v>377</v>
      </c>
      <c r="Q90" s="17" t="s">
        <v>378</v>
      </c>
      <c r="R90" s="17" t="s">
        <v>379</v>
      </c>
      <c r="S90" s="17" t="s">
        <v>29</v>
      </c>
      <c r="T90" s="17" t="s">
        <v>1382</v>
      </c>
      <c r="U90" s="17" t="s">
        <v>1383</v>
      </c>
      <c r="V90" s="17" t="s">
        <v>1384</v>
      </c>
      <c r="W90" s="17" t="s">
        <v>389</v>
      </c>
      <c r="X90" s="17" t="s">
        <v>1262</v>
      </c>
      <c r="Y90" s="17" t="s">
        <v>391</v>
      </c>
      <c r="Z90" s="17" t="s">
        <v>151</v>
      </c>
      <c r="AA90" s="17" t="s">
        <v>162</v>
      </c>
      <c r="AB90" s="17" t="s">
        <v>395</v>
      </c>
      <c r="AC90" s="19" t="s">
        <v>68</v>
      </c>
      <c r="AD90" s="20" t="s">
        <v>168</v>
      </c>
      <c r="AE90" s="21" t="s">
        <v>174</v>
      </c>
      <c r="AF90" s="22" t="s">
        <v>182</v>
      </c>
    </row>
    <row r="91" ht="43.5" customHeight="1">
      <c r="A91" s="17" t="s">
        <v>1387</v>
      </c>
      <c r="B91" s="17">
        <v>88.0</v>
      </c>
      <c r="C91" s="17" t="s">
        <v>1248</v>
      </c>
      <c r="D91" s="17">
        <v>6.0</v>
      </c>
      <c r="E91" s="17" t="s">
        <v>1249</v>
      </c>
      <c r="F91" s="17" t="s">
        <v>276</v>
      </c>
      <c r="G91" s="17">
        <v>10.0</v>
      </c>
      <c r="H91" s="17" t="s">
        <v>123</v>
      </c>
      <c r="I91" s="17" t="s">
        <v>1390</v>
      </c>
      <c r="J91" s="17" t="s">
        <v>1391</v>
      </c>
      <c r="K91" s="17" t="s">
        <v>1310</v>
      </c>
      <c r="L91" s="17" t="s">
        <v>1310</v>
      </c>
      <c r="M91" s="17" t="s">
        <v>1290</v>
      </c>
      <c r="N91" s="17"/>
      <c r="O91" s="17" t="s">
        <v>324</v>
      </c>
      <c r="P91" s="17" t="s">
        <v>878</v>
      </c>
      <c r="Q91" s="17" t="s">
        <v>1257</v>
      </c>
      <c r="R91" s="17" t="s">
        <v>610</v>
      </c>
      <c r="S91" s="17" t="s">
        <v>29</v>
      </c>
      <c r="T91" s="17" t="s">
        <v>1312</v>
      </c>
      <c r="U91" s="17" t="s">
        <v>1393</v>
      </c>
      <c r="V91" s="17" t="s">
        <v>1314</v>
      </c>
      <c r="W91" s="17" t="s">
        <v>417</v>
      </c>
      <c r="X91" s="17" t="s">
        <v>1262</v>
      </c>
      <c r="Y91" s="17" t="s">
        <v>1264</v>
      </c>
      <c r="Z91" s="17" t="s">
        <v>151</v>
      </c>
      <c r="AA91" s="17" t="s">
        <v>162</v>
      </c>
      <c r="AB91" s="17" t="s">
        <v>163</v>
      </c>
      <c r="AC91" s="19" t="s">
        <v>68</v>
      </c>
      <c r="AD91" s="20" t="s">
        <v>168</v>
      </c>
      <c r="AE91" s="21" t="s">
        <v>174</v>
      </c>
      <c r="AF91" s="24" t="s">
        <v>315</v>
      </c>
    </row>
    <row r="92" ht="43.5" customHeight="1">
      <c r="A92" s="17" t="s">
        <v>1394</v>
      </c>
      <c r="B92" s="17">
        <v>89.0</v>
      </c>
      <c r="C92" s="17" t="s">
        <v>1248</v>
      </c>
      <c r="D92" s="17">
        <v>6.0</v>
      </c>
      <c r="E92" s="17" t="s">
        <v>1249</v>
      </c>
      <c r="F92" s="17" t="s">
        <v>276</v>
      </c>
      <c r="G92" s="17">
        <v>11.0</v>
      </c>
      <c r="H92" s="17" t="s">
        <v>123</v>
      </c>
      <c r="I92" s="17" t="s">
        <v>1396</v>
      </c>
      <c r="J92" s="17" t="s">
        <v>1397</v>
      </c>
      <c r="K92" s="17" t="s">
        <v>1321</v>
      </c>
      <c r="L92" s="17" t="s">
        <v>1321</v>
      </c>
      <c r="M92" s="17" t="s">
        <v>1310</v>
      </c>
      <c r="N92" s="17"/>
      <c r="O92" s="17" t="s">
        <v>324</v>
      </c>
      <c r="P92" s="17" t="s">
        <v>878</v>
      </c>
      <c r="Q92" s="17" t="s">
        <v>1257</v>
      </c>
      <c r="R92" s="17" t="s">
        <v>610</v>
      </c>
      <c r="S92" s="17" t="s">
        <v>29</v>
      </c>
      <c r="T92" s="17" t="s">
        <v>1324</v>
      </c>
      <c r="U92" s="17" t="s">
        <v>1400</v>
      </c>
      <c r="V92" s="17" t="s">
        <v>1326</v>
      </c>
      <c r="W92" s="17" t="s">
        <v>437</v>
      </c>
      <c r="X92" s="17" t="s">
        <v>1262</v>
      </c>
      <c r="Y92" s="17" t="s">
        <v>1264</v>
      </c>
      <c r="Z92" s="17" t="s">
        <v>151</v>
      </c>
      <c r="AA92" s="17" t="s">
        <v>162</v>
      </c>
      <c r="AB92" s="17" t="s">
        <v>163</v>
      </c>
      <c r="AC92" s="19" t="s">
        <v>68</v>
      </c>
      <c r="AD92" s="20" t="s">
        <v>168</v>
      </c>
      <c r="AE92" s="21" t="s">
        <v>174</v>
      </c>
      <c r="AF92" s="22" t="s">
        <v>182</v>
      </c>
    </row>
    <row r="93" ht="43.5" customHeight="1">
      <c r="A93" s="17" t="s">
        <v>1405</v>
      </c>
      <c r="B93" s="17">
        <v>90.0</v>
      </c>
      <c r="C93" s="17" t="s">
        <v>1248</v>
      </c>
      <c r="D93" s="17">
        <v>6.0</v>
      </c>
      <c r="E93" s="17" t="s">
        <v>1249</v>
      </c>
      <c r="F93" s="17" t="s">
        <v>276</v>
      </c>
      <c r="G93" s="17">
        <v>12.0</v>
      </c>
      <c r="H93" s="17" t="s">
        <v>123</v>
      </c>
      <c r="I93" s="17" t="s">
        <v>1408</v>
      </c>
      <c r="J93" s="17" t="s">
        <v>1409</v>
      </c>
      <c r="K93" s="17" t="s">
        <v>1338</v>
      </c>
      <c r="L93" s="17" t="s">
        <v>1338</v>
      </c>
      <c r="M93" s="17" t="s">
        <v>1321</v>
      </c>
      <c r="N93" s="17"/>
      <c r="O93" s="17" t="s">
        <v>324</v>
      </c>
      <c r="P93" s="17" t="s">
        <v>878</v>
      </c>
      <c r="Q93" s="17" t="s">
        <v>1257</v>
      </c>
      <c r="R93" s="17" t="s">
        <v>610</v>
      </c>
      <c r="S93" s="17" t="s">
        <v>29</v>
      </c>
      <c r="T93" s="17" t="s">
        <v>1340</v>
      </c>
      <c r="U93" s="17" t="s">
        <v>1411</v>
      </c>
      <c r="V93" s="17" t="s">
        <v>1342</v>
      </c>
      <c r="W93" s="17" t="s">
        <v>452</v>
      </c>
      <c r="X93" s="17" t="s">
        <v>1262</v>
      </c>
      <c r="Y93" s="17" t="s">
        <v>1264</v>
      </c>
      <c r="Z93" s="17" t="s">
        <v>151</v>
      </c>
      <c r="AA93" s="17" t="s">
        <v>162</v>
      </c>
      <c r="AB93" s="17" t="s">
        <v>163</v>
      </c>
      <c r="AC93" s="19" t="s">
        <v>68</v>
      </c>
      <c r="AD93" s="20" t="s">
        <v>168</v>
      </c>
      <c r="AE93" s="21" t="s">
        <v>174</v>
      </c>
      <c r="AF93" s="22" t="s">
        <v>182</v>
      </c>
    </row>
    <row r="94" ht="43.5" customHeight="1">
      <c r="A94" s="17" t="s">
        <v>1416</v>
      </c>
      <c r="B94" s="17">
        <v>91.0</v>
      </c>
      <c r="C94" s="17" t="s">
        <v>1248</v>
      </c>
      <c r="D94" s="17">
        <v>6.0</v>
      </c>
      <c r="E94" s="17" t="s">
        <v>1249</v>
      </c>
      <c r="F94" s="17" t="s">
        <v>276</v>
      </c>
      <c r="G94" s="17">
        <v>15.0</v>
      </c>
      <c r="H94" s="17" t="s">
        <v>460</v>
      </c>
      <c r="I94" s="17" t="s">
        <v>1419</v>
      </c>
      <c r="J94" s="17" t="s">
        <v>462</v>
      </c>
      <c r="K94" s="17" t="s">
        <v>463</v>
      </c>
      <c r="L94" s="17" t="s">
        <v>464</v>
      </c>
      <c r="M94" s="17" t="s">
        <v>465</v>
      </c>
      <c r="N94" s="17" t="s">
        <v>466</v>
      </c>
      <c r="O94" s="17" t="s">
        <v>130</v>
      </c>
      <c r="P94" s="17" t="s">
        <v>133</v>
      </c>
      <c r="Q94" s="17" t="s">
        <v>467</v>
      </c>
      <c r="R94" s="17" t="s">
        <v>379</v>
      </c>
      <c r="S94" s="17" t="s">
        <v>82</v>
      </c>
      <c r="T94" s="17" t="s">
        <v>469</v>
      </c>
      <c r="U94" s="17" t="s">
        <v>1411</v>
      </c>
      <c r="V94" s="17" t="s">
        <v>470</v>
      </c>
      <c r="W94" s="17" t="s">
        <v>471</v>
      </c>
      <c r="X94" s="17" t="s">
        <v>1262</v>
      </c>
      <c r="Y94" s="17" t="s">
        <v>472</v>
      </c>
      <c r="Z94" s="17" t="s">
        <v>151</v>
      </c>
      <c r="AA94" s="17" t="s">
        <v>162</v>
      </c>
      <c r="AB94" s="17" t="s">
        <v>473</v>
      </c>
      <c r="AC94" s="19" t="s">
        <v>68</v>
      </c>
      <c r="AD94" s="20" t="s">
        <v>168</v>
      </c>
      <c r="AE94" s="21" t="s">
        <v>174</v>
      </c>
      <c r="AF94" s="24" t="s">
        <v>315</v>
      </c>
    </row>
    <row r="95" ht="43.5" customHeight="1">
      <c r="A95" s="17" t="s">
        <v>1429</v>
      </c>
      <c r="B95" s="17">
        <v>92.0</v>
      </c>
      <c r="C95" s="17" t="s">
        <v>1430</v>
      </c>
      <c r="D95" s="17">
        <v>7.0</v>
      </c>
      <c r="E95" s="17" t="s">
        <v>1431</v>
      </c>
      <c r="F95" s="17" t="s">
        <v>344</v>
      </c>
      <c r="G95" s="17">
        <v>1.0</v>
      </c>
      <c r="H95" s="17" t="s">
        <v>123</v>
      </c>
      <c r="I95" s="17" t="s">
        <v>1433</v>
      </c>
      <c r="J95" s="17" t="s">
        <v>1434</v>
      </c>
      <c r="K95" s="17" t="s">
        <v>1435</v>
      </c>
      <c r="L95" s="17" t="s">
        <v>1435</v>
      </c>
      <c r="M95" s="17" t="s">
        <v>128</v>
      </c>
      <c r="N95" s="17"/>
      <c r="O95" s="17" t="s">
        <v>130</v>
      </c>
      <c r="P95" s="17" t="s">
        <v>750</v>
      </c>
      <c r="Q95" s="17" t="s">
        <v>1439</v>
      </c>
      <c r="R95" s="17" t="s">
        <v>1440</v>
      </c>
      <c r="S95" s="17" t="s">
        <v>82</v>
      </c>
      <c r="T95" s="17" t="s">
        <v>1441</v>
      </c>
      <c r="U95" s="17" t="s">
        <v>1442</v>
      </c>
      <c r="V95" s="17" t="s">
        <v>1443</v>
      </c>
      <c r="W95" s="17" t="s">
        <v>145</v>
      </c>
      <c r="X95" s="17" t="s">
        <v>1445</v>
      </c>
      <c r="Y95" s="17" t="s">
        <v>704</v>
      </c>
      <c r="Z95" s="17" t="s">
        <v>151</v>
      </c>
      <c r="AA95" s="17" t="s">
        <v>162</v>
      </c>
      <c r="AB95" s="17" t="s">
        <v>163</v>
      </c>
      <c r="AC95" s="19" t="s">
        <v>68</v>
      </c>
      <c r="AD95" s="20" t="s">
        <v>168</v>
      </c>
      <c r="AE95" s="21" t="s">
        <v>174</v>
      </c>
      <c r="AF95" s="22" t="s">
        <v>182</v>
      </c>
    </row>
    <row r="96" ht="43.5" customHeight="1">
      <c r="A96" s="17" t="s">
        <v>1446</v>
      </c>
      <c r="B96" s="17">
        <v>93.0</v>
      </c>
      <c r="C96" s="17" t="s">
        <v>1430</v>
      </c>
      <c r="D96" s="17">
        <v>7.0</v>
      </c>
      <c r="E96" s="17" t="s">
        <v>1431</v>
      </c>
      <c r="F96" s="17" t="s">
        <v>344</v>
      </c>
      <c r="G96" s="17">
        <v>2.0</v>
      </c>
      <c r="H96" s="17" t="s">
        <v>123</v>
      </c>
      <c r="I96" s="17" t="s">
        <v>1450</v>
      </c>
      <c r="J96" s="17" t="s">
        <v>1452</v>
      </c>
      <c r="K96" s="17" t="s">
        <v>1453</v>
      </c>
      <c r="L96" s="17" t="s">
        <v>1453</v>
      </c>
      <c r="M96" s="17" t="s">
        <v>1435</v>
      </c>
      <c r="N96" s="17"/>
      <c r="O96" s="17" t="s">
        <v>130</v>
      </c>
      <c r="P96" s="17" t="s">
        <v>750</v>
      </c>
      <c r="Q96" s="17" t="s">
        <v>1439</v>
      </c>
      <c r="R96" s="17" t="s">
        <v>1440</v>
      </c>
      <c r="S96" s="17" t="s">
        <v>82</v>
      </c>
      <c r="T96" s="17" t="s">
        <v>1455</v>
      </c>
      <c r="U96" s="17" t="s">
        <v>1456</v>
      </c>
      <c r="V96" s="17" t="s">
        <v>1457</v>
      </c>
      <c r="W96" s="17" t="s">
        <v>209</v>
      </c>
      <c r="X96" s="17" t="s">
        <v>1445</v>
      </c>
      <c r="Y96" s="17" t="s">
        <v>704</v>
      </c>
      <c r="Z96" s="17" t="s">
        <v>151</v>
      </c>
      <c r="AA96" s="17" t="s">
        <v>162</v>
      </c>
      <c r="AB96" s="17" t="s">
        <v>163</v>
      </c>
      <c r="AC96" s="19" t="s">
        <v>68</v>
      </c>
      <c r="AD96" s="20" t="s">
        <v>168</v>
      </c>
      <c r="AE96" s="21" t="s">
        <v>174</v>
      </c>
      <c r="AF96" s="22" t="s">
        <v>182</v>
      </c>
    </row>
    <row r="97" ht="43.5" customHeight="1">
      <c r="A97" s="17" t="s">
        <v>1461</v>
      </c>
      <c r="B97" s="17">
        <v>94.0</v>
      </c>
      <c r="C97" s="17" t="s">
        <v>1430</v>
      </c>
      <c r="D97" s="17">
        <v>7.0</v>
      </c>
      <c r="E97" s="17" t="s">
        <v>1431</v>
      </c>
      <c r="F97" s="17" t="s">
        <v>344</v>
      </c>
      <c r="G97" s="17">
        <v>3.0</v>
      </c>
      <c r="H97" s="17" t="s">
        <v>123</v>
      </c>
      <c r="I97" s="17" t="s">
        <v>1463</v>
      </c>
      <c r="J97" s="17" t="s">
        <v>1464</v>
      </c>
      <c r="K97" s="17" t="s">
        <v>1467</v>
      </c>
      <c r="L97" s="17" t="s">
        <v>1467</v>
      </c>
      <c r="M97" s="17" t="s">
        <v>1453</v>
      </c>
      <c r="N97" s="17"/>
      <c r="O97" s="17" t="s">
        <v>130</v>
      </c>
      <c r="P97" s="17" t="s">
        <v>750</v>
      </c>
      <c r="Q97" s="17" t="s">
        <v>1439</v>
      </c>
      <c r="R97" s="17" t="s">
        <v>1440</v>
      </c>
      <c r="S97" s="17" t="s">
        <v>82</v>
      </c>
      <c r="T97" s="17" t="s">
        <v>1468</v>
      </c>
      <c r="U97" s="17" t="s">
        <v>1469</v>
      </c>
      <c r="V97" s="17" t="s">
        <v>1470</v>
      </c>
      <c r="W97" s="17" t="s">
        <v>209</v>
      </c>
      <c r="X97" s="17" t="s">
        <v>1445</v>
      </c>
      <c r="Y97" s="17" t="s">
        <v>704</v>
      </c>
      <c r="Z97" s="17" t="s">
        <v>151</v>
      </c>
      <c r="AA97" s="17" t="s">
        <v>162</v>
      </c>
      <c r="AB97" s="17" t="s">
        <v>163</v>
      </c>
      <c r="AC97" s="19" t="s">
        <v>68</v>
      </c>
      <c r="AD97" s="20" t="s">
        <v>168</v>
      </c>
      <c r="AE97" s="21" t="s">
        <v>174</v>
      </c>
      <c r="AF97" s="22" t="s">
        <v>182</v>
      </c>
    </row>
    <row r="98" ht="43.5" customHeight="1">
      <c r="A98" s="17" t="s">
        <v>1473</v>
      </c>
      <c r="B98" s="17">
        <v>95.0</v>
      </c>
      <c r="C98" s="17" t="s">
        <v>1430</v>
      </c>
      <c r="D98" s="17">
        <v>7.0</v>
      </c>
      <c r="E98" s="17" t="s">
        <v>1431</v>
      </c>
      <c r="F98" s="17" t="s">
        <v>344</v>
      </c>
      <c r="G98" s="17">
        <v>4.0</v>
      </c>
      <c r="H98" s="17" t="s">
        <v>240</v>
      </c>
      <c r="I98" s="17" t="s">
        <v>1476</v>
      </c>
      <c r="J98" s="17" t="s">
        <v>355</v>
      </c>
      <c r="K98" s="17" t="s">
        <v>356</v>
      </c>
      <c r="L98" s="17" t="s">
        <v>356</v>
      </c>
      <c r="M98" s="17" t="s">
        <v>1477</v>
      </c>
      <c r="N98" s="17" t="s">
        <v>351</v>
      </c>
      <c r="O98" s="17" t="s">
        <v>249</v>
      </c>
      <c r="P98" s="17" t="s">
        <v>252</v>
      </c>
      <c r="Q98" s="17" t="s">
        <v>357</v>
      </c>
      <c r="R98" s="17" t="s">
        <v>1440</v>
      </c>
      <c r="S98" s="17" t="s">
        <v>82</v>
      </c>
      <c r="T98" s="17" t="s">
        <v>1479</v>
      </c>
      <c r="U98" s="17" t="s">
        <v>1480</v>
      </c>
      <c r="V98" s="17" t="s">
        <v>1481</v>
      </c>
      <c r="W98" s="17" t="s">
        <v>260</v>
      </c>
      <c r="X98" s="17" t="s">
        <v>1445</v>
      </c>
      <c r="Y98" s="17" t="s">
        <v>261</v>
      </c>
      <c r="Z98" s="17" t="s">
        <v>151</v>
      </c>
      <c r="AA98" s="17" t="s">
        <v>162</v>
      </c>
      <c r="AB98" s="17" t="s">
        <v>1483</v>
      </c>
      <c r="AC98" s="19" t="s">
        <v>68</v>
      </c>
      <c r="AD98" s="20" t="s">
        <v>168</v>
      </c>
      <c r="AE98" s="21" t="s">
        <v>174</v>
      </c>
      <c r="AF98" s="23" t="s">
        <v>272</v>
      </c>
    </row>
    <row r="99" ht="43.5" customHeight="1">
      <c r="A99" s="17" t="s">
        <v>1485</v>
      </c>
      <c r="B99" s="17">
        <v>96.0</v>
      </c>
      <c r="C99" s="17" t="s">
        <v>1430</v>
      </c>
      <c r="D99" s="17">
        <v>7.0</v>
      </c>
      <c r="E99" s="17" t="s">
        <v>1431</v>
      </c>
      <c r="F99" s="17" t="s">
        <v>344</v>
      </c>
      <c r="G99" s="17">
        <v>4.0</v>
      </c>
      <c r="H99" s="17" t="s">
        <v>123</v>
      </c>
      <c r="I99" s="17" t="s">
        <v>1486</v>
      </c>
      <c r="J99" s="17" t="s">
        <v>1487</v>
      </c>
      <c r="K99" s="17" t="s">
        <v>1488</v>
      </c>
      <c r="L99" s="17" t="s">
        <v>1488</v>
      </c>
      <c r="M99" s="17" t="s">
        <v>1467</v>
      </c>
      <c r="N99" s="17"/>
      <c r="O99" s="17" t="s">
        <v>130</v>
      </c>
      <c r="P99" s="17" t="s">
        <v>750</v>
      </c>
      <c r="Q99" s="17" t="s">
        <v>1439</v>
      </c>
      <c r="R99" s="17" t="s">
        <v>1440</v>
      </c>
      <c r="S99" s="17" t="s">
        <v>82</v>
      </c>
      <c r="T99" s="17" t="s">
        <v>1489</v>
      </c>
      <c r="U99" s="17" t="s">
        <v>1490</v>
      </c>
      <c r="V99" s="17" t="s">
        <v>1492</v>
      </c>
      <c r="W99" s="17" t="s">
        <v>209</v>
      </c>
      <c r="X99" s="17" t="s">
        <v>1445</v>
      </c>
      <c r="Y99" s="17" t="s">
        <v>704</v>
      </c>
      <c r="Z99" s="17" t="s">
        <v>151</v>
      </c>
      <c r="AA99" s="17" t="s">
        <v>162</v>
      </c>
      <c r="AB99" s="17" t="s">
        <v>163</v>
      </c>
      <c r="AC99" s="19" t="s">
        <v>68</v>
      </c>
      <c r="AD99" s="20" t="s">
        <v>168</v>
      </c>
      <c r="AE99" s="21" t="s">
        <v>174</v>
      </c>
      <c r="AF99" s="22" t="s">
        <v>182</v>
      </c>
    </row>
    <row r="100" ht="43.5" customHeight="1">
      <c r="A100" s="17" t="s">
        <v>1496</v>
      </c>
      <c r="B100" s="17">
        <v>97.0</v>
      </c>
      <c r="C100" s="17" t="s">
        <v>1430</v>
      </c>
      <c r="D100" s="17">
        <v>7.0</v>
      </c>
      <c r="E100" s="17" t="s">
        <v>1431</v>
      </c>
      <c r="F100" s="17" t="s">
        <v>344</v>
      </c>
      <c r="G100" s="17">
        <v>5.0</v>
      </c>
      <c r="H100" s="17" t="s">
        <v>123</v>
      </c>
      <c r="I100" s="17" t="s">
        <v>1497</v>
      </c>
      <c r="J100" s="17" t="s">
        <v>1499</v>
      </c>
      <c r="K100" s="17" t="s">
        <v>1500</v>
      </c>
      <c r="L100" s="17" t="s">
        <v>1500</v>
      </c>
      <c r="M100" s="17" t="s">
        <v>1488</v>
      </c>
      <c r="N100" s="17"/>
      <c r="O100" s="17" t="s">
        <v>130</v>
      </c>
      <c r="P100" s="17" t="s">
        <v>750</v>
      </c>
      <c r="Q100" s="17" t="s">
        <v>1439</v>
      </c>
      <c r="R100" s="17" t="s">
        <v>1440</v>
      </c>
      <c r="S100" s="17" t="s">
        <v>82</v>
      </c>
      <c r="T100" s="17" t="s">
        <v>1501</v>
      </c>
      <c r="U100" s="17" t="s">
        <v>1502</v>
      </c>
      <c r="V100" s="17" t="s">
        <v>1503</v>
      </c>
      <c r="W100" s="17" t="s">
        <v>145</v>
      </c>
      <c r="X100" s="17" t="s">
        <v>1445</v>
      </c>
      <c r="Y100" s="17" t="s">
        <v>704</v>
      </c>
      <c r="Z100" s="17" t="s">
        <v>151</v>
      </c>
      <c r="AA100" s="17" t="s">
        <v>162</v>
      </c>
      <c r="AB100" s="17" t="s">
        <v>163</v>
      </c>
      <c r="AC100" s="19" t="s">
        <v>68</v>
      </c>
      <c r="AD100" s="20" t="s">
        <v>168</v>
      </c>
      <c r="AE100" s="21" t="s">
        <v>174</v>
      </c>
      <c r="AF100" s="22" t="s">
        <v>182</v>
      </c>
    </row>
    <row r="101" ht="43.5" customHeight="1">
      <c r="A101" s="17" t="s">
        <v>1510</v>
      </c>
      <c r="B101" s="17">
        <v>98.0</v>
      </c>
      <c r="C101" s="17" t="s">
        <v>1430</v>
      </c>
      <c r="D101" s="17">
        <v>7.0</v>
      </c>
      <c r="E101" s="17" t="s">
        <v>1431</v>
      </c>
      <c r="F101" s="17" t="s">
        <v>344</v>
      </c>
      <c r="G101" s="17">
        <v>6.0</v>
      </c>
      <c r="H101" s="17" t="s">
        <v>123</v>
      </c>
      <c r="I101" s="17" t="s">
        <v>1516</v>
      </c>
      <c r="J101" s="17" t="s">
        <v>1518</v>
      </c>
      <c r="K101" s="17" t="s">
        <v>1519</v>
      </c>
      <c r="L101" s="17" t="s">
        <v>1519</v>
      </c>
      <c r="M101" s="17" t="s">
        <v>1500</v>
      </c>
      <c r="N101" s="17"/>
      <c r="O101" s="17" t="s">
        <v>130</v>
      </c>
      <c r="P101" s="17" t="s">
        <v>750</v>
      </c>
      <c r="Q101" s="17" t="s">
        <v>1439</v>
      </c>
      <c r="R101" s="17" t="s">
        <v>1440</v>
      </c>
      <c r="S101" s="17" t="s">
        <v>82</v>
      </c>
      <c r="T101" s="17" t="s">
        <v>1521</v>
      </c>
      <c r="U101" s="17" t="s">
        <v>1522</v>
      </c>
      <c r="V101" s="17" t="s">
        <v>1523</v>
      </c>
      <c r="W101" s="17" t="s">
        <v>209</v>
      </c>
      <c r="X101" s="17" t="s">
        <v>1445</v>
      </c>
      <c r="Y101" s="17" t="s">
        <v>704</v>
      </c>
      <c r="Z101" s="17" t="s">
        <v>151</v>
      </c>
      <c r="AA101" s="17" t="s">
        <v>162</v>
      </c>
      <c r="AB101" s="17" t="s">
        <v>163</v>
      </c>
      <c r="AC101" s="19" t="s">
        <v>68</v>
      </c>
      <c r="AD101" s="20" t="s">
        <v>168</v>
      </c>
      <c r="AE101" s="21" t="s">
        <v>174</v>
      </c>
      <c r="AF101" s="24" t="s">
        <v>315</v>
      </c>
    </row>
    <row r="102" ht="43.5" customHeight="1">
      <c r="A102" s="17" t="s">
        <v>1530</v>
      </c>
      <c r="B102" s="17">
        <v>99.0</v>
      </c>
      <c r="C102" s="17" t="s">
        <v>1430</v>
      </c>
      <c r="D102" s="17">
        <v>7.0</v>
      </c>
      <c r="E102" s="17" t="s">
        <v>1431</v>
      </c>
      <c r="F102" s="17" t="s">
        <v>344</v>
      </c>
      <c r="G102" s="17">
        <v>7.0</v>
      </c>
      <c r="H102" s="17" t="s">
        <v>123</v>
      </c>
      <c r="I102" s="17" t="s">
        <v>1532</v>
      </c>
      <c r="J102" s="17" t="s">
        <v>1533</v>
      </c>
      <c r="K102" s="17" t="s">
        <v>1435</v>
      </c>
      <c r="L102" s="17" t="s">
        <v>1435</v>
      </c>
      <c r="M102" s="17" t="s">
        <v>1519</v>
      </c>
      <c r="N102" s="17"/>
      <c r="O102" s="17" t="s">
        <v>130</v>
      </c>
      <c r="P102" s="17" t="s">
        <v>750</v>
      </c>
      <c r="Q102" s="17" t="s">
        <v>1439</v>
      </c>
      <c r="R102" s="17" t="s">
        <v>1440</v>
      </c>
      <c r="S102" s="17" t="s">
        <v>82</v>
      </c>
      <c r="T102" s="17" t="s">
        <v>1441</v>
      </c>
      <c r="U102" s="17" t="s">
        <v>1536</v>
      </c>
      <c r="V102" s="17" t="s">
        <v>1443</v>
      </c>
      <c r="W102" s="17" t="s">
        <v>209</v>
      </c>
      <c r="X102" s="17" t="s">
        <v>1445</v>
      </c>
      <c r="Y102" s="17" t="s">
        <v>704</v>
      </c>
      <c r="Z102" s="17" t="s">
        <v>151</v>
      </c>
      <c r="AA102" s="17" t="s">
        <v>162</v>
      </c>
      <c r="AB102" s="17" t="s">
        <v>163</v>
      </c>
      <c r="AC102" s="19" t="s">
        <v>68</v>
      </c>
      <c r="AD102" s="20" t="s">
        <v>168</v>
      </c>
      <c r="AE102" s="21" t="s">
        <v>174</v>
      </c>
      <c r="AF102" s="24" t="s">
        <v>315</v>
      </c>
    </row>
    <row r="103" ht="43.5" customHeight="1">
      <c r="A103" s="17" t="s">
        <v>1537</v>
      </c>
      <c r="B103" s="17">
        <v>100.0</v>
      </c>
      <c r="C103" s="17" t="s">
        <v>1430</v>
      </c>
      <c r="D103" s="17">
        <v>7.0</v>
      </c>
      <c r="E103" s="17" t="s">
        <v>1431</v>
      </c>
      <c r="F103" s="17" t="s">
        <v>344</v>
      </c>
      <c r="G103" s="17">
        <v>8.0</v>
      </c>
      <c r="H103" s="17" t="s">
        <v>123</v>
      </c>
      <c r="I103" s="17" t="s">
        <v>1540</v>
      </c>
      <c r="J103" s="17" t="s">
        <v>1542</v>
      </c>
      <c r="K103" s="17" t="s">
        <v>1453</v>
      </c>
      <c r="L103" s="17" t="s">
        <v>1453</v>
      </c>
      <c r="M103" s="17" t="s">
        <v>1435</v>
      </c>
      <c r="N103" s="17"/>
      <c r="O103" s="17" t="s">
        <v>130</v>
      </c>
      <c r="P103" s="17" t="s">
        <v>750</v>
      </c>
      <c r="Q103" s="17" t="s">
        <v>1439</v>
      </c>
      <c r="R103" s="17" t="s">
        <v>1440</v>
      </c>
      <c r="S103" s="17" t="s">
        <v>82</v>
      </c>
      <c r="T103" s="17" t="s">
        <v>1455</v>
      </c>
      <c r="U103" s="17" t="s">
        <v>1543</v>
      </c>
      <c r="V103" s="17" t="s">
        <v>1457</v>
      </c>
      <c r="W103" s="17" t="s">
        <v>209</v>
      </c>
      <c r="X103" s="17" t="s">
        <v>1445</v>
      </c>
      <c r="Y103" s="17" t="s">
        <v>704</v>
      </c>
      <c r="Z103" s="17" t="s">
        <v>151</v>
      </c>
      <c r="AA103" s="17" t="s">
        <v>162</v>
      </c>
      <c r="AB103" s="17" t="s">
        <v>163</v>
      </c>
      <c r="AC103" s="19" t="s">
        <v>68</v>
      </c>
      <c r="AD103" s="20" t="s">
        <v>168</v>
      </c>
      <c r="AE103" s="21" t="s">
        <v>174</v>
      </c>
      <c r="AF103" s="24" t="s">
        <v>315</v>
      </c>
    </row>
    <row r="104" ht="43.5" customHeight="1">
      <c r="A104" s="17" t="s">
        <v>1545</v>
      </c>
      <c r="B104" s="17">
        <v>101.0</v>
      </c>
      <c r="C104" s="17" t="s">
        <v>1430</v>
      </c>
      <c r="D104" s="17">
        <v>7.0</v>
      </c>
      <c r="E104" s="17" t="s">
        <v>1431</v>
      </c>
      <c r="F104" s="17" t="s">
        <v>344</v>
      </c>
      <c r="G104" s="17">
        <v>9.0</v>
      </c>
      <c r="H104" s="17" t="s">
        <v>123</v>
      </c>
      <c r="I104" s="17" t="s">
        <v>1547</v>
      </c>
      <c r="J104" s="17" t="s">
        <v>1548</v>
      </c>
      <c r="K104" s="17" t="s">
        <v>1467</v>
      </c>
      <c r="L104" s="17" t="s">
        <v>1467</v>
      </c>
      <c r="M104" s="17" t="s">
        <v>1453</v>
      </c>
      <c r="N104" s="17"/>
      <c r="O104" s="17" t="s">
        <v>130</v>
      </c>
      <c r="P104" s="17" t="s">
        <v>750</v>
      </c>
      <c r="Q104" s="17" t="s">
        <v>1439</v>
      </c>
      <c r="R104" s="17" t="s">
        <v>1440</v>
      </c>
      <c r="S104" s="17" t="s">
        <v>82</v>
      </c>
      <c r="T104" s="17" t="s">
        <v>1468</v>
      </c>
      <c r="U104" s="17" t="s">
        <v>1551</v>
      </c>
      <c r="V104" s="17" t="s">
        <v>1470</v>
      </c>
      <c r="W104" s="17" t="s">
        <v>209</v>
      </c>
      <c r="X104" s="17" t="s">
        <v>1445</v>
      </c>
      <c r="Y104" s="17" t="s">
        <v>704</v>
      </c>
      <c r="Z104" s="17" t="s">
        <v>151</v>
      </c>
      <c r="AA104" s="17" t="s">
        <v>162</v>
      </c>
      <c r="AB104" s="17" t="s">
        <v>163</v>
      </c>
      <c r="AC104" s="19" t="s">
        <v>68</v>
      </c>
      <c r="AD104" s="20" t="s">
        <v>168</v>
      </c>
      <c r="AE104" s="21" t="s">
        <v>174</v>
      </c>
      <c r="AF104" s="24" t="s">
        <v>315</v>
      </c>
    </row>
    <row r="105" ht="43.5" customHeight="1">
      <c r="A105" s="17" t="s">
        <v>1555</v>
      </c>
      <c r="B105" s="17">
        <v>102.0</v>
      </c>
      <c r="C105" s="17" t="s">
        <v>1430</v>
      </c>
      <c r="D105" s="17">
        <v>7.0</v>
      </c>
      <c r="E105" s="17" t="s">
        <v>1431</v>
      </c>
      <c r="F105" s="17" t="s">
        <v>344</v>
      </c>
      <c r="G105" s="17">
        <v>11.0</v>
      </c>
      <c r="H105" s="17" t="s">
        <v>370</v>
      </c>
      <c r="I105" s="17" t="s">
        <v>1557</v>
      </c>
      <c r="J105" s="17" t="s">
        <v>1558</v>
      </c>
      <c r="K105" s="17" t="s">
        <v>1559</v>
      </c>
      <c r="L105" s="17" t="s">
        <v>1435</v>
      </c>
      <c r="M105" s="17" t="s">
        <v>375</v>
      </c>
      <c r="N105" s="17" t="s">
        <v>376</v>
      </c>
      <c r="O105" s="17" t="s">
        <v>130</v>
      </c>
      <c r="P105" s="17" t="s">
        <v>377</v>
      </c>
      <c r="Q105" s="17" t="s">
        <v>378</v>
      </c>
      <c r="R105" s="17" t="s">
        <v>379</v>
      </c>
      <c r="S105" s="17" t="s">
        <v>82</v>
      </c>
      <c r="T105" s="17" t="s">
        <v>1562</v>
      </c>
      <c r="U105" s="17" t="s">
        <v>1565</v>
      </c>
      <c r="V105" s="17" t="s">
        <v>1566</v>
      </c>
      <c r="W105" s="17" t="s">
        <v>389</v>
      </c>
      <c r="X105" s="17" t="s">
        <v>1445</v>
      </c>
      <c r="Y105" s="17" t="s">
        <v>391</v>
      </c>
      <c r="Z105" s="17" t="s">
        <v>151</v>
      </c>
      <c r="AA105" s="17" t="s">
        <v>162</v>
      </c>
      <c r="AB105" s="17" t="s">
        <v>395</v>
      </c>
      <c r="AC105" s="19" t="s">
        <v>68</v>
      </c>
      <c r="AD105" s="20" t="s">
        <v>168</v>
      </c>
      <c r="AE105" s="21" t="s">
        <v>174</v>
      </c>
      <c r="AF105" s="22" t="s">
        <v>182</v>
      </c>
    </row>
    <row r="106" ht="43.5" customHeight="1">
      <c r="A106" s="17" t="s">
        <v>1570</v>
      </c>
      <c r="B106" s="17">
        <v>103.0</v>
      </c>
      <c r="C106" s="17" t="s">
        <v>1430</v>
      </c>
      <c r="D106" s="17">
        <v>7.0</v>
      </c>
      <c r="E106" s="17" t="s">
        <v>1431</v>
      </c>
      <c r="F106" s="17" t="s">
        <v>344</v>
      </c>
      <c r="G106" s="17">
        <v>10.0</v>
      </c>
      <c r="H106" s="17" t="s">
        <v>123</v>
      </c>
      <c r="I106" s="17" t="s">
        <v>1572</v>
      </c>
      <c r="J106" s="17" t="s">
        <v>1573</v>
      </c>
      <c r="K106" s="17" t="s">
        <v>1488</v>
      </c>
      <c r="L106" s="17" t="s">
        <v>1488</v>
      </c>
      <c r="M106" s="17" t="s">
        <v>1467</v>
      </c>
      <c r="N106" s="17"/>
      <c r="O106" s="17" t="s">
        <v>130</v>
      </c>
      <c r="P106" s="17" t="s">
        <v>750</v>
      </c>
      <c r="Q106" s="17" t="s">
        <v>1439</v>
      </c>
      <c r="R106" s="17" t="s">
        <v>1440</v>
      </c>
      <c r="S106" s="17" t="s">
        <v>82</v>
      </c>
      <c r="T106" s="17" t="s">
        <v>1489</v>
      </c>
      <c r="U106" s="17" t="s">
        <v>1577</v>
      </c>
      <c r="V106" s="17" t="s">
        <v>1492</v>
      </c>
      <c r="W106" s="17" t="s">
        <v>417</v>
      </c>
      <c r="X106" s="17" t="s">
        <v>1445</v>
      </c>
      <c r="Y106" s="17" t="s">
        <v>704</v>
      </c>
      <c r="Z106" s="17" t="s">
        <v>151</v>
      </c>
      <c r="AA106" s="17" t="s">
        <v>162</v>
      </c>
      <c r="AB106" s="17" t="s">
        <v>163</v>
      </c>
      <c r="AC106" s="19" t="s">
        <v>68</v>
      </c>
      <c r="AD106" s="20" t="s">
        <v>168</v>
      </c>
      <c r="AE106" s="21" t="s">
        <v>174</v>
      </c>
      <c r="AF106" s="24" t="s">
        <v>315</v>
      </c>
    </row>
    <row r="107" ht="43.5" customHeight="1">
      <c r="A107" s="17" t="s">
        <v>1581</v>
      </c>
      <c r="B107" s="17">
        <v>104.0</v>
      </c>
      <c r="C107" s="17" t="s">
        <v>1430</v>
      </c>
      <c r="D107" s="17">
        <v>7.0</v>
      </c>
      <c r="E107" s="17" t="s">
        <v>1431</v>
      </c>
      <c r="F107" s="17" t="s">
        <v>344</v>
      </c>
      <c r="G107" s="17">
        <v>11.0</v>
      </c>
      <c r="H107" s="17" t="s">
        <v>123</v>
      </c>
      <c r="I107" s="17" t="s">
        <v>1584</v>
      </c>
      <c r="J107" s="17" t="s">
        <v>1585</v>
      </c>
      <c r="K107" s="17" t="s">
        <v>1500</v>
      </c>
      <c r="L107" s="17" t="s">
        <v>1500</v>
      </c>
      <c r="M107" s="17" t="s">
        <v>1488</v>
      </c>
      <c r="N107" s="17"/>
      <c r="O107" s="17" t="s">
        <v>130</v>
      </c>
      <c r="P107" s="17" t="s">
        <v>750</v>
      </c>
      <c r="Q107" s="17" t="s">
        <v>1439</v>
      </c>
      <c r="R107" s="17" t="s">
        <v>1440</v>
      </c>
      <c r="S107" s="17" t="s">
        <v>82</v>
      </c>
      <c r="T107" s="17" t="s">
        <v>1501</v>
      </c>
      <c r="U107" s="17" t="s">
        <v>1590</v>
      </c>
      <c r="V107" s="17" t="s">
        <v>1503</v>
      </c>
      <c r="W107" s="17" t="s">
        <v>437</v>
      </c>
      <c r="X107" s="17" t="s">
        <v>1445</v>
      </c>
      <c r="Y107" s="17" t="s">
        <v>704</v>
      </c>
      <c r="Z107" s="17" t="s">
        <v>151</v>
      </c>
      <c r="AA107" s="17" t="s">
        <v>162</v>
      </c>
      <c r="AB107" s="17" t="s">
        <v>163</v>
      </c>
      <c r="AC107" s="19" t="s">
        <v>68</v>
      </c>
      <c r="AD107" s="20" t="s">
        <v>168</v>
      </c>
      <c r="AE107" s="21" t="s">
        <v>174</v>
      </c>
      <c r="AF107" s="22" t="s">
        <v>182</v>
      </c>
    </row>
    <row r="108" ht="43.5" customHeight="1">
      <c r="A108" s="17" t="s">
        <v>1592</v>
      </c>
      <c r="B108" s="17">
        <v>105.0</v>
      </c>
      <c r="C108" s="17" t="s">
        <v>1430</v>
      </c>
      <c r="D108" s="17">
        <v>7.0</v>
      </c>
      <c r="E108" s="17" t="s">
        <v>1431</v>
      </c>
      <c r="F108" s="17" t="s">
        <v>344</v>
      </c>
      <c r="G108" s="17">
        <v>12.0</v>
      </c>
      <c r="H108" s="17" t="s">
        <v>123</v>
      </c>
      <c r="I108" s="17" t="s">
        <v>1596</v>
      </c>
      <c r="J108" s="17" t="s">
        <v>1597</v>
      </c>
      <c r="K108" s="17" t="s">
        <v>1519</v>
      </c>
      <c r="L108" s="17" t="s">
        <v>1519</v>
      </c>
      <c r="M108" s="17" t="s">
        <v>1500</v>
      </c>
      <c r="N108" s="17"/>
      <c r="O108" s="17" t="s">
        <v>130</v>
      </c>
      <c r="P108" s="17" t="s">
        <v>750</v>
      </c>
      <c r="Q108" s="17" t="s">
        <v>1439</v>
      </c>
      <c r="R108" s="17" t="s">
        <v>1440</v>
      </c>
      <c r="S108" s="17" t="s">
        <v>82</v>
      </c>
      <c r="T108" s="17" t="s">
        <v>1521</v>
      </c>
      <c r="U108" s="17" t="s">
        <v>1598</v>
      </c>
      <c r="V108" s="17" t="s">
        <v>1523</v>
      </c>
      <c r="W108" s="17" t="s">
        <v>452</v>
      </c>
      <c r="X108" s="17" t="s">
        <v>1445</v>
      </c>
      <c r="Y108" s="17" t="s">
        <v>704</v>
      </c>
      <c r="Z108" s="17" t="s">
        <v>151</v>
      </c>
      <c r="AA108" s="17" t="s">
        <v>162</v>
      </c>
      <c r="AB108" s="17" t="s">
        <v>163</v>
      </c>
      <c r="AC108" s="19" t="s">
        <v>68</v>
      </c>
      <c r="AD108" s="20" t="s">
        <v>168</v>
      </c>
      <c r="AE108" s="21" t="s">
        <v>174</v>
      </c>
      <c r="AF108" s="22" t="s">
        <v>182</v>
      </c>
    </row>
    <row r="109" ht="43.5" customHeight="1">
      <c r="A109" s="17" t="s">
        <v>1602</v>
      </c>
      <c r="B109" s="17">
        <v>106.0</v>
      </c>
      <c r="C109" s="17" t="s">
        <v>1430</v>
      </c>
      <c r="D109" s="17">
        <v>7.0</v>
      </c>
      <c r="E109" s="17" t="s">
        <v>1431</v>
      </c>
      <c r="F109" s="17" t="s">
        <v>344</v>
      </c>
      <c r="G109" s="17">
        <v>15.0</v>
      </c>
      <c r="H109" s="17" t="s">
        <v>460</v>
      </c>
      <c r="I109" s="17" t="s">
        <v>1604</v>
      </c>
      <c r="J109" s="17" t="s">
        <v>462</v>
      </c>
      <c r="K109" s="17" t="s">
        <v>463</v>
      </c>
      <c r="L109" s="17" t="s">
        <v>464</v>
      </c>
      <c r="M109" s="17" t="s">
        <v>465</v>
      </c>
      <c r="N109" s="17" t="s">
        <v>466</v>
      </c>
      <c r="O109" s="17" t="s">
        <v>130</v>
      </c>
      <c r="P109" s="17" t="s">
        <v>133</v>
      </c>
      <c r="Q109" s="17" t="s">
        <v>467</v>
      </c>
      <c r="R109" s="17" t="s">
        <v>379</v>
      </c>
      <c r="S109" s="17" t="s">
        <v>82</v>
      </c>
      <c r="T109" s="17" t="s">
        <v>469</v>
      </c>
      <c r="U109" s="17" t="s">
        <v>1598</v>
      </c>
      <c r="V109" s="17" t="s">
        <v>470</v>
      </c>
      <c r="W109" s="17" t="s">
        <v>471</v>
      </c>
      <c r="X109" s="17" t="s">
        <v>1445</v>
      </c>
      <c r="Y109" s="17" t="s">
        <v>472</v>
      </c>
      <c r="Z109" s="17" t="s">
        <v>151</v>
      </c>
      <c r="AA109" s="17" t="s">
        <v>162</v>
      </c>
      <c r="AB109" s="17" t="s">
        <v>473</v>
      </c>
      <c r="AC109" s="19" t="s">
        <v>68</v>
      </c>
      <c r="AD109" s="20" t="s">
        <v>168</v>
      </c>
      <c r="AE109" s="21" t="s">
        <v>174</v>
      </c>
      <c r="AF109" s="24" t="s">
        <v>315</v>
      </c>
    </row>
    <row r="110" ht="43.5" customHeight="1">
      <c r="A110" s="17" t="s">
        <v>1610</v>
      </c>
      <c r="B110" s="17">
        <v>107.0</v>
      </c>
      <c r="C110" s="17" t="s">
        <v>1611</v>
      </c>
      <c r="D110" s="17">
        <v>8.0</v>
      </c>
      <c r="E110" s="17" t="s">
        <v>1612</v>
      </c>
      <c r="F110" s="17" t="s">
        <v>20</v>
      </c>
      <c r="G110" s="17">
        <v>1.0</v>
      </c>
      <c r="H110" s="17" t="s">
        <v>123</v>
      </c>
      <c r="I110" s="17" t="s">
        <v>1613</v>
      </c>
      <c r="J110" s="17" t="s">
        <v>1614</v>
      </c>
      <c r="K110" s="17" t="s">
        <v>1615</v>
      </c>
      <c r="L110" s="17" t="s">
        <v>1615</v>
      </c>
      <c r="M110" s="17" t="s">
        <v>128</v>
      </c>
      <c r="N110" s="17"/>
      <c r="O110" s="17" t="s">
        <v>1616</v>
      </c>
      <c r="P110" s="17" t="s">
        <v>325</v>
      </c>
      <c r="Q110" s="17" t="s">
        <v>1617</v>
      </c>
      <c r="R110" s="17" t="s">
        <v>136</v>
      </c>
      <c r="S110" s="17" t="s">
        <v>106</v>
      </c>
      <c r="T110" s="17" t="s">
        <v>1619</v>
      </c>
      <c r="U110" s="17" t="s">
        <v>1620</v>
      </c>
      <c r="V110" s="17" t="s">
        <v>1621</v>
      </c>
      <c r="W110" s="17" t="s">
        <v>145</v>
      </c>
      <c r="X110" s="17" t="s">
        <v>1622</v>
      </c>
      <c r="Y110" s="17" t="s">
        <v>149</v>
      </c>
      <c r="Z110" s="17" t="s">
        <v>151</v>
      </c>
      <c r="AA110" s="17" t="s">
        <v>162</v>
      </c>
      <c r="AB110" s="17" t="s">
        <v>163</v>
      </c>
      <c r="AC110" s="19" t="s">
        <v>68</v>
      </c>
      <c r="AD110" s="20" t="s">
        <v>168</v>
      </c>
      <c r="AE110" s="21" t="s">
        <v>174</v>
      </c>
      <c r="AF110" s="22" t="s">
        <v>182</v>
      </c>
    </row>
    <row r="111" ht="43.5" customHeight="1">
      <c r="A111" s="17" t="s">
        <v>1624</v>
      </c>
      <c r="B111" s="17">
        <v>108.0</v>
      </c>
      <c r="C111" s="17" t="s">
        <v>1611</v>
      </c>
      <c r="D111" s="17">
        <v>8.0</v>
      </c>
      <c r="E111" s="17" t="s">
        <v>1612</v>
      </c>
      <c r="F111" s="17" t="s">
        <v>20</v>
      </c>
      <c r="G111" s="17">
        <v>2.0</v>
      </c>
      <c r="H111" s="17" t="s">
        <v>123</v>
      </c>
      <c r="I111" s="17" t="s">
        <v>1626</v>
      </c>
      <c r="J111" s="17" t="s">
        <v>1627</v>
      </c>
      <c r="K111" s="17" t="s">
        <v>1629</v>
      </c>
      <c r="L111" s="17" t="s">
        <v>1629</v>
      </c>
      <c r="M111" s="17" t="s">
        <v>1615</v>
      </c>
      <c r="N111" s="17"/>
      <c r="O111" s="17" t="s">
        <v>1616</v>
      </c>
      <c r="P111" s="17" t="s">
        <v>325</v>
      </c>
      <c r="Q111" s="17" t="s">
        <v>1617</v>
      </c>
      <c r="R111" s="17" t="s">
        <v>136</v>
      </c>
      <c r="S111" s="17" t="s">
        <v>106</v>
      </c>
      <c r="T111" s="17" t="s">
        <v>1631</v>
      </c>
      <c r="U111" s="17" t="s">
        <v>1632</v>
      </c>
      <c r="V111" s="17" t="s">
        <v>1633</v>
      </c>
      <c r="W111" s="17" t="s">
        <v>209</v>
      </c>
      <c r="X111" s="17" t="s">
        <v>1622</v>
      </c>
      <c r="Y111" s="17" t="s">
        <v>149</v>
      </c>
      <c r="Z111" s="17" t="s">
        <v>151</v>
      </c>
      <c r="AA111" s="17" t="s">
        <v>162</v>
      </c>
      <c r="AB111" s="17" t="s">
        <v>163</v>
      </c>
      <c r="AC111" s="19" t="s">
        <v>68</v>
      </c>
      <c r="AD111" s="20" t="s">
        <v>168</v>
      </c>
      <c r="AE111" s="21" t="s">
        <v>174</v>
      </c>
      <c r="AF111" s="22" t="s">
        <v>182</v>
      </c>
    </row>
    <row r="112" ht="43.5" customHeight="1">
      <c r="A112" s="17" t="s">
        <v>1635</v>
      </c>
      <c r="B112" s="17">
        <v>109.0</v>
      </c>
      <c r="C112" s="17" t="s">
        <v>1611</v>
      </c>
      <c r="D112" s="17">
        <v>8.0</v>
      </c>
      <c r="E112" s="17" t="s">
        <v>1612</v>
      </c>
      <c r="F112" s="17" t="s">
        <v>20</v>
      </c>
      <c r="G112" s="17">
        <v>3.0</v>
      </c>
      <c r="H112" s="17" t="s">
        <v>123</v>
      </c>
      <c r="I112" s="17" t="s">
        <v>1637</v>
      </c>
      <c r="J112" s="17" t="s">
        <v>1638</v>
      </c>
      <c r="K112" s="17" t="s">
        <v>1640</v>
      </c>
      <c r="L112" s="17" t="s">
        <v>1640</v>
      </c>
      <c r="M112" s="17" t="s">
        <v>1629</v>
      </c>
      <c r="N112" s="17"/>
      <c r="O112" s="17" t="s">
        <v>1616</v>
      </c>
      <c r="P112" s="17" t="s">
        <v>325</v>
      </c>
      <c r="Q112" s="17" t="s">
        <v>1617</v>
      </c>
      <c r="R112" s="17" t="s">
        <v>136</v>
      </c>
      <c r="S112" s="17" t="s">
        <v>106</v>
      </c>
      <c r="T112" s="17" t="s">
        <v>1643</v>
      </c>
      <c r="U112" s="17" t="s">
        <v>1644</v>
      </c>
      <c r="V112" s="17" t="s">
        <v>1645</v>
      </c>
      <c r="W112" s="17" t="s">
        <v>209</v>
      </c>
      <c r="X112" s="17" t="s">
        <v>1622</v>
      </c>
      <c r="Y112" s="17" t="s">
        <v>149</v>
      </c>
      <c r="Z112" s="17" t="s">
        <v>151</v>
      </c>
      <c r="AA112" s="17" t="s">
        <v>162</v>
      </c>
      <c r="AB112" s="17" t="s">
        <v>163</v>
      </c>
      <c r="AC112" s="19" t="s">
        <v>68</v>
      </c>
      <c r="AD112" s="20" t="s">
        <v>168</v>
      </c>
      <c r="AE112" s="21" t="s">
        <v>174</v>
      </c>
      <c r="AF112" s="22" t="s">
        <v>182</v>
      </c>
    </row>
    <row r="113" ht="43.5" customHeight="1">
      <c r="A113" s="17" t="s">
        <v>1647</v>
      </c>
      <c r="B113" s="17">
        <v>110.0</v>
      </c>
      <c r="C113" s="17" t="s">
        <v>1611</v>
      </c>
      <c r="D113" s="17">
        <v>8.0</v>
      </c>
      <c r="E113" s="17" t="s">
        <v>1612</v>
      </c>
      <c r="F113" s="17" t="s">
        <v>20</v>
      </c>
      <c r="G113" s="17">
        <v>4.0</v>
      </c>
      <c r="H113" s="17" t="s">
        <v>240</v>
      </c>
      <c r="I113" s="17" t="s">
        <v>382</v>
      </c>
      <c r="J113" s="17" t="s">
        <v>23</v>
      </c>
      <c r="K113" s="17" t="s">
        <v>24</v>
      </c>
      <c r="L113" s="17" t="s">
        <v>24</v>
      </c>
      <c r="M113" s="17" t="s">
        <v>386</v>
      </c>
      <c r="N113" s="17" t="s">
        <v>16</v>
      </c>
      <c r="O113" s="17" t="s">
        <v>249</v>
      </c>
      <c r="P113" s="17" t="s">
        <v>252</v>
      </c>
      <c r="Q113" s="17" t="s">
        <v>27</v>
      </c>
      <c r="R113" s="17" t="s">
        <v>136</v>
      </c>
      <c r="S113" s="17" t="s">
        <v>29</v>
      </c>
      <c r="T113" s="17" t="s">
        <v>392</v>
      </c>
      <c r="U113" s="17" t="s">
        <v>393</v>
      </c>
      <c r="V113" s="17" t="s">
        <v>1651</v>
      </c>
      <c r="W113" s="17" t="s">
        <v>260</v>
      </c>
      <c r="X113" s="17" t="s">
        <v>1622</v>
      </c>
      <c r="Y113" s="17" t="s">
        <v>261</v>
      </c>
      <c r="Z113" s="17" t="s">
        <v>151</v>
      </c>
      <c r="AA113" s="17" t="s">
        <v>162</v>
      </c>
      <c r="AB113" s="17" t="s">
        <v>1653</v>
      </c>
      <c r="AC113" s="19" t="s">
        <v>68</v>
      </c>
      <c r="AD113" s="20" t="s">
        <v>168</v>
      </c>
      <c r="AE113" s="21" t="s">
        <v>174</v>
      </c>
      <c r="AF113" s="23" t="s">
        <v>272</v>
      </c>
    </row>
    <row r="114" ht="43.5" customHeight="1">
      <c r="A114" s="17" t="s">
        <v>1655</v>
      </c>
      <c r="B114" s="17">
        <v>111.0</v>
      </c>
      <c r="C114" s="17" t="s">
        <v>1611</v>
      </c>
      <c r="D114" s="17">
        <v>8.0</v>
      </c>
      <c r="E114" s="17" t="s">
        <v>1612</v>
      </c>
      <c r="F114" s="17" t="s">
        <v>20</v>
      </c>
      <c r="G114" s="17">
        <v>4.0</v>
      </c>
      <c r="H114" s="17" t="s">
        <v>123</v>
      </c>
      <c r="I114" s="17" t="s">
        <v>1657</v>
      </c>
      <c r="J114" s="17" t="s">
        <v>1658</v>
      </c>
      <c r="K114" s="17" t="s">
        <v>1659</v>
      </c>
      <c r="L114" s="17" t="s">
        <v>1659</v>
      </c>
      <c r="M114" s="17" t="s">
        <v>1640</v>
      </c>
      <c r="N114" s="17"/>
      <c r="O114" s="17" t="s">
        <v>1616</v>
      </c>
      <c r="P114" s="17" t="s">
        <v>325</v>
      </c>
      <c r="Q114" s="17" t="s">
        <v>1617</v>
      </c>
      <c r="R114" s="17" t="s">
        <v>136</v>
      </c>
      <c r="S114" s="17" t="s">
        <v>106</v>
      </c>
      <c r="T114" s="17" t="s">
        <v>1663</v>
      </c>
      <c r="U114" s="17" t="s">
        <v>1664</v>
      </c>
      <c r="V114" s="17" t="s">
        <v>1665</v>
      </c>
      <c r="W114" s="17" t="s">
        <v>209</v>
      </c>
      <c r="X114" s="17" t="s">
        <v>1622</v>
      </c>
      <c r="Y114" s="17" t="s">
        <v>149</v>
      </c>
      <c r="Z114" s="17" t="s">
        <v>151</v>
      </c>
      <c r="AA114" s="17" t="s">
        <v>162</v>
      </c>
      <c r="AB114" s="17" t="s">
        <v>163</v>
      </c>
      <c r="AC114" s="19" t="s">
        <v>68</v>
      </c>
      <c r="AD114" s="20" t="s">
        <v>168</v>
      </c>
      <c r="AE114" s="21" t="s">
        <v>174</v>
      </c>
      <c r="AF114" s="22" t="s">
        <v>182</v>
      </c>
    </row>
    <row r="115" ht="43.5" customHeight="1">
      <c r="A115" s="17" t="s">
        <v>1667</v>
      </c>
      <c r="B115" s="17">
        <v>112.0</v>
      </c>
      <c r="C115" s="17" t="s">
        <v>1611</v>
      </c>
      <c r="D115" s="17">
        <v>8.0</v>
      </c>
      <c r="E115" s="17" t="s">
        <v>1612</v>
      </c>
      <c r="F115" s="17" t="s">
        <v>20</v>
      </c>
      <c r="G115" s="17">
        <v>5.0</v>
      </c>
      <c r="H115" s="17" t="s">
        <v>123</v>
      </c>
      <c r="I115" s="17" t="s">
        <v>1670</v>
      </c>
      <c r="J115" s="17" t="s">
        <v>1672</v>
      </c>
      <c r="K115" s="17" t="s">
        <v>1673</v>
      </c>
      <c r="L115" s="17" t="s">
        <v>1673</v>
      </c>
      <c r="M115" s="17" t="s">
        <v>1659</v>
      </c>
      <c r="N115" s="17"/>
      <c r="O115" s="17" t="s">
        <v>1616</v>
      </c>
      <c r="P115" s="17" t="s">
        <v>325</v>
      </c>
      <c r="Q115" s="17" t="s">
        <v>1617</v>
      </c>
      <c r="R115" s="17" t="s">
        <v>136</v>
      </c>
      <c r="S115" s="17" t="s">
        <v>106</v>
      </c>
      <c r="T115" s="17" t="s">
        <v>1678</v>
      </c>
      <c r="U115" s="17" t="s">
        <v>1680</v>
      </c>
      <c r="V115" s="17" t="s">
        <v>1683</v>
      </c>
      <c r="W115" s="17" t="s">
        <v>145</v>
      </c>
      <c r="X115" s="17" t="s">
        <v>1622</v>
      </c>
      <c r="Y115" s="17" t="s">
        <v>149</v>
      </c>
      <c r="Z115" s="17" t="s">
        <v>151</v>
      </c>
      <c r="AA115" s="17" t="s">
        <v>162</v>
      </c>
      <c r="AB115" s="17" t="s">
        <v>163</v>
      </c>
      <c r="AC115" s="19" t="s">
        <v>68</v>
      </c>
      <c r="AD115" s="20" t="s">
        <v>168</v>
      </c>
      <c r="AE115" s="21" t="s">
        <v>174</v>
      </c>
      <c r="AF115" s="22" t="s">
        <v>182</v>
      </c>
    </row>
    <row r="116" ht="43.5" customHeight="1">
      <c r="A116" s="17" t="s">
        <v>1686</v>
      </c>
      <c r="B116" s="17">
        <v>113.0</v>
      </c>
      <c r="C116" s="17" t="s">
        <v>1611</v>
      </c>
      <c r="D116" s="17">
        <v>8.0</v>
      </c>
      <c r="E116" s="17" t="s">
        <v>1612</v>
      </c>
      <c r="F116" s="17" t="s">
        <v>20</v>
      </c>
      <c r="G116" s="17">
        <v>6.0</v>
      </c>
      <c r="H116" s="17" t="s">
        <v>123</v>
      </c>
      <c r="I116" s="17" t="s">
        <v>1690</v>
      </c>
      <c r="J116" s="17" t="s">
        <v>1691</v>
      </c>
      <c r="K116" s="17" t="s">
        <v>1692</v>
      </c>
      <c r="L116" s="17" t="s">
        <v>1692</v>
      </c>
      <c r="M116" s="17" t="s">
        <v>1673</v>
      </c>
      <c r="N116" s="17"/>
      <c r="O116" s="17" t="s">
        <v>1616</v>
      </c>
      <c r="P116" s="17" t="s">
        <v>325</v>
      </c>
      <c r="Q116" s="17" t="s">
        <v>1617</v>
      </c>
      <c r="R116" s="17" t="s">
        <v>136</v>
      </c>
      <c r="S116" s="17" t="s">
        <v>106</v>
      </c>
      <c r="T116" s="17" t="s">
        <v>1696</v>
      </c>
      <c r="U116" s="17" t="s">
        <v>1697</v>
      </c>
      <c r="V116" s="17" t="s">
        <v>1698</v>
      </c>
      <c r="W116" s="17" t="s">
        <v>209</v>
      </c>
      <c r="X116" s="17" t="s">
        <v>1622</v>
      </c>
      <c r="Y116" s="17" t="s">
        <v>149</v>
      </c>
      <c r="Z116" s="17" t="s">
        <v>151</v>
      </c>
      <c r="AA116" s="17" t="s">
        <v>162</v>
      </c>
      <c r="AB116" s="17" t="s">
        <v>163</v>
      </c>
      <c r="AC116" s="19" t="s">
        <v>68</v>
      </c>
      <c r="AD116" s="20" t="s">
        <v>168</v>
      </c>
      <c r="AE116" s="21" t="s">
        <v>174</v>
      </c>
      <c r="AF116" s="24" t="s">
        <v>315</v>
      </c>
    </row>
    <row r="117" ht="43.5" customHeight="1">
      <c r="A117" s="17" t="s">
        <v>1701</v>
      </c>
      <c r="B117" s="17">
        <v>114.0</v>
      </c>
      <c r="C117" s="17" t="s">
        <v>1611</v>
      </c>
      <c r="D117" s="17">
        <v>8.0</v>
      </c>
      <c r="E117" s="17" t="s">
        <v>1612</v>
      </c>
      <c r="F117" s="17" t="s">
        <v>20</v>
      </c>
      <c r="G117" s="17">
        <v>7.0</v>
      </c>
      <c r="H117" s="17" t="s">
        <v>123</v>
      </c>
      <c r="I117" s="17" t="s">
        <v>1706</v>
      </c>
      <c r="J117" s="17" t="s">
        <v>1707</v>
      </c>
      <c r="K117" s="17" t="s">
        <v>1615</v>
      </c>
      <c r="L117" s="17" t="s">
        <v>1615</v>
      </c>
      <c r="M117" s="17" t="s">
        <v>1692</v>
      </c>
      <c r="N117" s="17"/>
      <c r="O117" s="17" t="s">
        <v>1616</v>
      </c>
      <c r="P117" s="17" t="s">
        <v>325</v>
      </c>
      <c r="Q117" s="17" t="s">
        <v>1617</v>
      </c>
      <c r="R117" s="17" t="s">
        <v>136</v>
      </c>
      <c r="S117" s="17" t="s">
        <v>106</v>
      </c>
      <c r="T117" s="17" t="s">
        <v>1619</v>
      </c>
      <c r="U117" s="17" t="s">
        <v>1709</v>
      </c>
      <c r="V117" s="17" t="s">
        <v>1621</v>
      </c>
      <c r="W117" s="17" t="s">
        <v>209</v>
      </c>
      <c r="X117" s="17" t="s">
        <v>1622</v>
      </c>
      <c r="Y117" s="17" t="s">
        <v>149</v>
      </c>
      <c r="Z117" s="17" t="s">
        <v>151</v>
      </c>
      <c r="AA117" s="17" t="s">
        <v>162</v>
      </c>
      <c r="AB117" s="17" t="s">
        <v>163</v>
      </c>
      <c r="AC117" s="19" t="s">
        <v>68</v>
      </c>
      <c r="AD117" s="20" t="s">
        <v>168</v>
      </c>
      <c r="AE117" s="21" t="s">
        <v>174</v>
      </c>
      <c r="AF117" s="24" t="s">
        <v>315</v>
      </c>
    </row>
    <row r="118" ht="43.5" customHeight="1">
      <c r="A118" s="17" t="s">
        <v>1714</v>
      </c>
      <c r="B118" s="17">
        <v>115.0</v>
      </c>
      <c r="C118" s="17" t="s">
        <v>1611</v>
      </c>
      <c r="D118" s="17">
        <v>8.0</v>
      </c>
      <c r="E118" s="17" t="s">
        <v>1612</v>
      </c>
      <c r="F118" s="17" t="s">
        <v>20</v>
      </c>
      <c r="G118" s="17">
        <v>8.0</v>
      </c>
      <c r="H118" s="17" t="s">
        <v>123</v>
      </c>
      <c r="I118" s="17" t="s">
        <v>1718</v>
      </c>
      <c r="J118" s="17" t="s">
        <v>1719</v>
      </c>
      <c r="K118" s="17" t="s">
        <v>1629</v>
      </c>
      <c r="L118" s="17" t="s">
        <v>1629</v>
      </c>
      <c r="M118" s="17" t="s">
        <v>1615</v>
      </c>
      <c r="N118" s="17"/>
      <c r="O118" s="17" t="s">
        <v>1616</v>
      </c>
      <c r="P118" s="17" t="s">
        <v>325</v>
      </c>
      <c r="Q118" s="17" t="s">
        <v>1617</v>
      </c>
      <c r="R118" s="17" t="s">
        <v>136</v>
      </c>
      <c r="S118" s="17" t="s">
        <v>106</v>
      </c>
      <c r="T118" s="17" t="s">
        <v>1631</v>
      </c>
      <c r="U118" s="17" t="s">
        <v>1721</v>
      </c>
      <c r="V118" s="17" t="s">
        <v>1633</v>
      </c>
      <c r="W118" s="17" t="s">
        <v>209</v>
      </c>
      <c r="X118" s="17" t="s">
        <v>1622</v>
      </c>
      <c r="Y118" s="17" t="s">
        <v>149</v>
      </c>
      <c r="Z118" s="17" t="s">
        <v>151</v>
      </c>
      <c r="AA118" s="17" t="s">
        <v>162</v>
      </c>
      <c r="AB118" s="17" t="s">
        <v>163</v>
      </c>
      <c r="AC118" s="19" t="s">
        <v>68</v>
      </c>
      <c r="AD118" s="20" t="s">
        <v>168</v>
      </c>
      <c r="AE118" s="21" t="s">
        <v>174</v>
      </c>
      <c r="AF118" s="24" t="s">
        <v>315</v>
      </c>
    </row>
    <row r="119" ht="43.5" customHeight="1">
      <c r="A119" s="17" t="s">
        <v>1728</v>
      </c>
      <c r="B119" s="17">
        <v>116.0</v>
      </c>
      <c r="C119" s="17" t="s">
        <v>1611</v>
      </c>
      <c r="D119" s="17">
        <v>8.0</v>
      </c>
      <c r="E119" s="17" t="s">
        <v>1612</v>
      </c>
      <c r="F119" s="17" t="s">
        <v>20</v>
      </c>
      <c r="G119" s="17">
        <v>9.0</v>
      </c>
      <c r="H119" s="17" t="s">
        <v>123</v>
      </c>
      <c r="I119" s="17" t="s">
        <v>1730</v>
      </c>
      <c r="J119" s="17" t="s">
        <v>1731</v>
      </c>
      <c r="K119" s="17" t="s">
        <v>1640</v>
      </c>
      <c r="L119" s="17" t="s">
        <v>1640</v>
      </c>
      <c r="M119" s="17" t="s">
        <v>1629</v>
      </c>
      <c r="N119" s="17"/>
      <c r="O119" s="17" t="s">
        <v>1616</v>
      </c>
      <c r="P119" s="17" t="s">
        <v>325</v>
      </c>
      <c r="Q119" s="17" t="s">
        <v>1617</v>
      </c>
      <c r="R119" s="17" t="s">
        <v>136</v>
      </c>
      <c r="S119" s="17" t="s">
        <v>106</v>
      </c>
      <c r="T119" s="17" t="s">
        <v>1643</v>
      </c>
      <c r="U119" s="17" t="s">
        <v>1735</v>
      </c>
      <c r="V119" s="17" t="s">
        <v>1645</v>
      </c>
      <c r="W119" s="17" t="s">
        <v>209</v>
      </c>
      <c r="X119" s="17" t="s">
        <v>1622</v>
      </c>
      <c r="Y119" s="17" t="s">
        <v>149</v>
      </c>
      <c r="Z119" s="17" t="s">
        <v>151</v>
      </c>
      <c r="AA119" s="17" t="s">
        <v>162</v>
      </c>
      <c r="AB119" s="17" t="s">
        <v>163</v>
      </c>
      <c r="AC119" s="19" t="s">
        <v>68</v>
      </c>
      <c r="AD119" s="20" t="s">
        <v>168</v>
      </c>
      <c r="AE119" s="21" t="s">
        <v>174</v>
      </c>
      <c r="AF119" s="24" t="s">
        <v>315</v>
      </c>
    </row>
    <row r="120" ht="43.5" customHeight="1">
      <c r="A120" s="17" t="s">
        <v>1739</v>
      </c>
      <c r="B120" s="17">
        <v>117.0</v>
      </c>
      <c r="C120" s="17" t="s">
        <v>1611</v>
      </c>
      <c r="D120" s="17">
        <v>8.0</v>
      </c>
      <c r="E120" s="17" t="s">
        <v>1612</v>
      </c>
      <c r="F120" s="17" t="s">
        <v>20</v>
      </c>
      <c r="G120" s="17">
        <v>11.0</v>
      </c>
      <c r="H120" s="17" t="s">
        <v>370</v>
      </c>
      <c r="I120" s="17" t="s">
        <v>1741</v>
      </c>
      <c r="J120" s="17" t="s">
        <v>1742</v>
      </c>
      <c r="K120" s="17" t="s">
        <v>1744</v>
      </c>
      <c r="L120" s="17" t="s">
        <v>1615</v>
      </c>
      <c r="M120" s="17" t="s">
        <v>375</v>
      </c>
      <c r="N120" s="17" t="s">
        <v>376</v>
      </c>
      <c r="O120" s="17" t="s">
        <v>130</v>
      </c>
      <c r="P120" s="17" t="s">
        <v>377</v>
      </c>
      <c r="Q120" s="17" t="s">
        <v>378</v>
      </c>
      <c r="R120" s="17" t="s">
        <v>379</v>
      </c>
      <c r="S120" s="17" t="s">
        <v>106</v>
      </c>
      <c r="T120" s="17" t="s">
        <v>1746</v>
      </c>
      <c r="U120" s="17" t="s">
        <v>1748</v>
      </c>
      <c r="V120" s="17" t="s">
        <v>1749</v>
      </c>
      <c r="W120" s="17" t="s">
        <v>389</v>
      </c>
      <c r="X120" s="17" t="s">
        <v>1622</v>
      </c>
      <c r="Y120" s="17" t="s">
        <v>391</v>
      </c>
      <c r="Z120" s="17" t="s">
        <v>151</v>
      </c>
      <c r="AA120" s="17" t="s">
        <v>162</v>
      </c>
      <c r="AB120" s="17" t="s">
        <v>395</v>
      </c>
      <c r="AC120" s="19" t="s">
        <v>68</v>
      </c>
      <c r="AD120" s="20" t="s">
        <v>168</v>
      </c>
      <c r="AE120" s="21" t="s">
        <v>174</v>
      </c>
      <c r="AF120" s="22" t="s">
        <v>182</v>
      </c>
    </row>
    <row r="121" ht="43.5" customHeight="1">
      <c r="A121" s="17" t="s">
        <v>1753</v>
      </c>
      <c r="B121" s="17">
        <v>118.0</v>
      </c>
      <c r="C121" s="17" t="s">
        <v>1611</v>
      </c>
      <c r="D121" s="17">
        <v>8.0</v>
      </c>
      <c r="E121" s="17" t="s">
        <v>1612</v>
      </c>
      <c r="F121" s="17" t="s">
        <v>20</v>
      </c>
      <c r="G121" s="17">
        <v>10.0</v>
      </c>
      <c r="H121" s="17" t="s">
        <v>123</v>
      </c>
      <c r="I121" s="17" t="s">
        <v>1757</v>
      </c>
      <c r="J121" s="17" t="s">
        <v>1758</v>
      </c>
      <c r="K121" s="17" t="s">
        <v>1659</v>
      </c>
      <c r="L121" s="17" t="s">
        <v>1659</v>
      </c>
      <c r="M121" s="17" t="s">
        <v>1640</v>
      </c>
      <c r="N121" s="17"/>
      <c r="O121" s="17" t="s">
        <v>1616</v>
      </c>
      <c r="P121" s="17" t="s">
        <v>325</v>
      </c>
      <c r="Q121" s="17" t="s">
        <v>1617</v>
      </c>
      <c r="R121" s="17" t="s">
        <v>136</v>
      </c>
      <c r="S121" s="17" t="s">
        <v>106</v>
      </c>
      <c r="T121" s="17" t="s">
        <v>1663</v>
      </c>
      <c r="U121" s="17" t="s">
        <v>1760</v>
      </c>
      <c r="V121" s="17" t="s">
        <v>1665</v>
      </c>
      <c r="W121" s="17" t="s">
        <v>417</v>
      </c>
      <c r="X121" s="17" t="s">
        <v>1622</v>
      </c>
      <c r="Y121" s="17" t="s">
        <v>149</v>
      </c>
      <c r="Z121" s="17" t="s">
        <v>151</v>
      </c>
      <c r="AA121" s="17" t="s">
        <v>162</v>
      </c>
      <c r="AB121" s="17" t="s">
        <v>163</v>
      </c>
      <c r="AC121" s="19" t="s">
        <v>68</v>
      </c>
      <c r="AD121" s="20" t="s">
        <v>168</v>
      </c>
      <c r="AE121" s="21" t="s">
        <v>174</v>
      </c>
      <c r="AF121" s="24" t="s">
        <v>315</v>
      </c>
    </row>
    <row r="122" ht="43.5" customHeight="1">
      <c r="A122" s="17" t="s">
        <v>1764</v>
      </c>
      <c r="B122" s="17">
        <v>119.0</v>
      </c>
      <c r="C122" s="17" t="s">
        <v>1611</v>
      </c>
      <c r="D122" s="17">
        <v>8.0</v>
      </c>
      <c r="E122" s="17" t="s">
        <v>1612</v>
      </c>
      <c r="F122" s="17" t="s">
        <v>20</v>
      </c>
      <c r="G122" s="17">
        <v>11.0</v>
      </c>
      <c r="H122" s="17" t="s">
        <v>123</v>
      </c>
      <c r="I122" s="17" t="s">
        <v>1766</v>
      </c>
      <c r="J122" s="17" t="s">
        <v>1768</v>
      </c>
      <c r="K122" s="17" t="s">
        <v>1673</v>
      </c>
      <c r="L122" s="17" t="s">
        <v>1673</v>
      </c>
      <c r="M122" s="17" t="s">
        <v>1659</v>
      </c>
      <c r="N122" s="17"/>
      <c r="O122" s="17" t="s">
        <v>1616</v>
      </c>
      <c r="P122" s="17" t="s">
        <v>325</v>
      </c>
      <c r="Q122" s="17" t="s">
        <v>1617</v>
      </c>
      <c r="R122" s="17" t="s">
        <v>136</v>
      </c>
      <c r="S122" s="17" t="s">
        <v>106</v>
      </c>
      <c r="T122" s="17" t="s">
        <v>1678</v>
      </c>
      <c r="U122" s="17" t="s">
        <v>1771</v>
      </c>
      <c r="V122" s="17" t="s">
        <v>1683</v>
      </c>
      <c r="W122" s="17" t="s">
        <v>437</v>
      </c>
      <c r="X122" s="17" t="s">
        <v>1622</v>
      </c>
      <c r="Y122" s="17" t="s">
        <v>149</v>
      </c>
      <c r="Z122" s="17" t="s">
        <v>151</v>
      </c>
      <c r="AA122" s="17" t="s">
        <v>162</v>
      </c>
      <c r="AB122" s="17" t="s">
        <v>163</v>
      </c>
      <c r="AC122" s="19" t="s">
        <v>68</v>
      </c>
      <c r="AD122" s="20" t="s">
        <v>168</v>
      </c>
      <c r="AE122" s="21" t="s">
        <v>174</v>
      </c>
      <c r="AF122" s="22" t="s">
        <v>182</v>
      </c>
    </row>
    <row r="123" ht="43.5" customHeight="1">
      <c r="A123" s="17" t="s">
        <v>1773</v>
      </c>
      <c r="B123" s="17">
        <v>120.0</v>
      </c>
      <c r="C123" s="17" t="s">
        <v>1611</v>
      </c>
      <c r="D123" s="17">
        <v>8.0</v>
      </c>
      <c r="E123" s="17" t="s">
        <v>1612</v>
      </c>
      <c r="F123" s="17" t="s">
        <v>20</v>
      </c>
      <c r="G123" s="17">
        <v>12.0</v>
      </c>
      <c r="H123" s="17" t="s">
        <v>123</v>
      </c>
      <c r="I123" s="17" t="s">
        <v>1776</v>
      </c>
      <c r="J123" s="17" t="s">
        <v>1777</v>
      </c>
      <c r="K123" s="17" t="s">
        <v>1692</v>
      </c>
      <c r="L123" s="17" t="s">
        <v>1692</v>
      </c>
      <c r="M123" s="17" t="s">
        <v>1673</v>
      </c>
      <c r="N123" s="17"/>
      <c r="O123" s="17" t="s">
        <v>1616</v>
      </c>
      <c r="P123" s="17" t="s">
        <v>325</v>
      </c>
      <c r="Q123" s="17" t="s">
        <v>1617</v>
      </c>
      <c r="R123" s="17" t="s">
        <v>136</v>
      </c>
      <c r="S123" s="17" t="s">
        <v>106</v>
      </c>
      <c r="T123" s="17" t="s">
        <v>1696</v>
      </c>
      <c r="U123" s="17" t="s">
        <v>1779</v>
      </c>
      <c r="V123" s="17" t="s">
        <v>1698</v>
      </c>
      <c r="W123" s="17" t="s">
        <v>452</v>
      </c>
      <c r="X123" s="17" t="s">
        <v>1622</v>
      </c>
      <c r="Y123" s="17" t="s">
        <v>149</v>
      </c>
      <c r="Z123" s="17" t="s">
        <v>151</v>
      </c>
      <c r="AA123" s="17" t="s">
        <v>162</v>
      </c>
      <c r="AB123" s="17" t="s">
        <v>163</v>
      </c>
      <c r="AC123" s="19" t="s">
        <v>68</v>
      </c>
      <c r="AD123" s="20" t="s">
        <v>168</v>
      </c>
      <c r="AE123" s="21" t="s">
        <v>174</v>
      </c>
      <c r="AF123" s="22" t="s">
        <v>182</v>
      </c>
    </row>
    <row r="124" ht="43.5" customHeight="1">
      <c r="A124" s="17" t="s">
        <v>1783</v>
      </c>
      <c r="B124" s="17">
        <v>121.0</v>
      </c>
      <c r="C124" s="17" t="s">
        <v>1611</v>
      </c>
      <c r="D124" s="17">
        <v>8.0</v>
      </c>
      <c r="E124" s="17" t="s">
        <v>1612</v>
      </c>
      <c r="F124" s="17" t="s">
        <v>20</v>
      </c>
      <c r="G124" s="17">
        <v>15.0</v>
      </c>
      <c r="H124" s="17" t="s">
        <v>460</v>
      </c>
      <c r="I124" s="17" t="s">
        <v>1785</v>
      </c>
      <c r="J124" s="17" t="s">
        <v>462</v>
      </c>
      <c r="K124" s="17" t="s">
        <v>463</v>
      </c>
      <c r="L124" s="17" t="s">
        <v>464</v>
      </c>
      <c r="M124" s="17" t="s">
        <v>465</v>
      </c>
      <c r="N124" s="17" t="s">
        <v>466</v>
      </c>
      <c r="O124" s="17" t="s">
        <v>130</v>
      </c>
      <c r="P124" s="17" t="s">
        <v>133</v>
      </c>
      <c r="Q124" s="17" t="s">
        <v>467</v>
      </c>
      <c r="R124" s="17" t="s">
        <v>379</v>
      </c>
      <c r="S124" s="17" t="s">
        <v>82</v>
      </c>
      <c r="T124" s="17" t="s">
        <v>469</v>
      </c>
      <c r="U124" s="17" t="s">
        <v>1779</v>
      </c>
      <c r="V124" s="17" t="s">
        <v>470</v>
      </c>
      <c r="W124" s="17" t="s">
        <v>471</v>
      </c>
      <c r="X124" s="17" t="s">
        <v>1622</v>
      </c>
      <c r="Y124" s="17" t="s">
        <v>472</v>
      </c>
      <c r="Z124" s="17" t="s">
        <v>151</v>
      </c>
      <c r="AA124" s="17" t="s">
        <v>162</v>
      </c>
      <c r="AB124" s="17" t="s">
        <v>473</v>
      </c>
      <c r="AC124" s="19" t="s">
        <v>68</v>
      </c>
      <c r="AD124" s="20" t="s">
        <v>168</v>
      </c>
      <c r="AE124" s="21" t="s">
        <v>174</v>
      </c>
      <c r="AF124" s="24" t="s">
        <v>315</v>
      </c>
    </row>
    <row r="125" ht="43.5" customHeight="1">
      <c r="A125" s="17" t="s">
        <v>1790</v>
      </c>
      <c r="B125" s="17">
        <v>122.0</v>
      </c>
      <c r="C125" s="17" t="s">
        <v>1791</v>
      </c>
      <c r="D125" s="17">
        <v>9.0</v>
      </c>
      <c r="E125" s="17" t="s">
        <v>1792</v>
      </c>
      <c r="F125" s="17" t="s">
        <v>86</v>
      </c>
      <c r="G125" s="17">
        <v>1.0</v>
      </c>
      <c r="H125" s="17" t="s">
        <v>123</v>
      </c>
      <c r="I125" s="17" t="s">
        <v>1794</v>
      </c>
      <c r="J125" s="17" t="s">
        <v>1795</v>
      </c>
      <c r="K125" s="17" t="s">
        <v>1796</v>
      </c>
      <c r="L125" s="17" t="s">
        <v>1796</v>
      </c>
      <c r="M125" s="17" t="s">
        <v>128</v>
      </c>
      <c r="N125" s="17"/>
      <c r="O125" s="17" t="s">
        <v>249</v>
      </c>
      <c r="P125" s="17" t="s">
        <v>593</v>
      </c>
      <c r="Q125" s="17" t="s">
        <v>1798</v>
      </c>
      <c r="R125" s="17" t="s">
        <v>484</v>
      </c>
      <c r="S125" s="17" t="s">
        <v>232</v>
      </c>
      <c r="T125" s="17" t="s">
        <v>1799</v>
      </c>
      <c r="U125" s="17" t="s">
        <v>1800</v>
      </c>
      <c r="V125" s="17" t="s">
        <v>1801</v>
      </c>
      <c r="W125" s="17" t="s">
        <v>145</v>
      </c>
      <c r="X125" s="17" t="s">
        <v>1802</v>
      </c>
      <c r="Y125" s="17" t="s">
        <v>1078</v>
      </c>
      <c r="Z125" s="17" t="s">
        <v>151</v>
      </c>
      <c r="AA125" s="17" t="s">
        <v>162</v>
      </c>
      <c r="AB125" s="17" t="s">
        <v>163</v>
      </c>
      <c r="AC125" s="19" t="s">
        <v>68</v>
      </c>
      <c r="AD125" s="20" t="s">
        <v>168</v>
      </c>
      <c r="AE125" s="21" t="s">
        <v>174</v>
      </c>
      <c r="AF125" s="22" t="s">
        <v>182</v>
      </c>
    </row>
    <row r="126" ht="43.5" customHeight="1">
      <c r="A126" s="17" t="s">
        <v>1807</v>
      </c>
      <c r="B126" s="17">
        <v>123.0</v>
      </c>
      <c r="C126" s="17" t="s">
        <v>1791</v>
      </c>
      <c r="D126" s="17">
        <v>9.0</v>
      </c>
      <c r="E126" s="17" t="s">
        <v>1792</v>
      </c>
      <c r="F126" s="17" t="s">
        <v>86</v>
      </c>
      <c r="G126" s="17">
        <v>2.0</v>
      </c>
      <c r="H126" s="17" t="s">
        <v>123</v>
      </c>
      <c r="I126" s="17" t="s">
        <v>1808</v>
      </c>
      <c r="J126" s="17" t="s">
        <v>1809</v>
      </c>
      <c r="K126" s="17" t="s">
        <v>1810</v>
      </c>
      <c r="L126" s="17" t="s">
        <v>1810</v>
      </c>
      <c r="M126" s="17" t="s">
        <v>1796</v>
      </c>
      <c r="N126" s="17"/>
      <c r="O126" s="17" t="s">
        <v>249</v>
      </c>
      <c r="P126" s="17" t="s">
        <v>593</v>
      </c>
      <c r="Q126" s="17" t="s">
        <v>1798</v>
      </c>
      <c r="R126" s="17" t="s">
        <v>484</v>
      </c>
      <c r="S126" s="17" t="s">
        <v>232</v>
      </c>
      <c r="T126" s="17" t="s">
        <v>1811</v>
      </c>
      <c r="U126" s="17" t="s">
        <v>1812</v>
      </c>
      <c r="V126" s="17" t="s">
        <v>1813</v>
      </c>
      <c r="W126" s="17" t="s">
        <v>209</v>
      </c>
      <c r="X126" s="17" t="s">
        <v>1802</v>
      </c>
      <c r="Y126" s="17" t="s">
        <v>1078</v>
      </c>
      <c r="Z126" s="17" t="s">
        <v>151</v>
      </c>
      <c r="AA126" s="17" t="s">
        <v>162</v>
      </c>
      <c r="AB126" s="17" t="s">
        <v>163</v>
      </c>
      <c r="AC126" s="19" t="s">
        <v>68</v>
      </c>
      <c r="AD126" s="20" t="s">
        <v>168</v>
      </c>
      <c r="AE126" s="21" t="s">
        <v>174</v>
      </c>
      <c r="AF126" s="22" t="s">
        <v>182</v>
      </c>
    </row>
    <row r="127" ht="43.5" customHeight="1">
      <c r="A127" s="17" t="s">
        <v>1815</v>
      </c>
      <c r="B127" s="17">
        <v>124.0</v>
      </c>
      <c r="C127" s="17" t="s">
        <v>1791</v>
      </c>
      <c r="D127" s="17">
        <v>9.0</v>
      </c>
      <c r="E127" s="17" t="s">
        <v>1792</v>
      </c>
      <c r="F127" s="17" t="s">
        <v>86</v>
      </c>
      <c r="G127" s="17">
        <v>3.0</v>
      </c>
      <c r="H127" s="17" t="s">
        <v>123</v>
      </c>
      <c r="I127" s="17" t="s">
        <v>1819</v>
      </c>
      <c r="J127" s="17" t="s">
        <v>1820</v>
      </c>
      <c r="K127" s="17" t="s">
        <v>1821</v>
      </c>
      <c r="L127" s="17" t="s">
        <v>1821</v>
      </c>
      <c r="M127" s="17" t="s">
        <v>1810</v>
      </c>
      <c r="N127" s="17"/>
      <c r="O127" s="17" t="s">
        <v>249</v>
      </c>
      <c r="P127" s="17" t="s">
        <v>593</v>
      </c>
      <c r="Q127" s="17" t="s">
        <v>1798</v>
      </c>
      <c r="R127" s="17" t="s">
        <v>484</v>
      </c>
      <c r="S127" s="17" t="s">
        <v>232</v>
      </c>
      <c r="T127" s="17" t="s">
        <v>1829</v>
      </c>
      <c r="U127" s="17" t="s">
        <v>1830</v>
      </c>
      <c r="V127" s="17" t="s">
        <v>1833</v>
      </c>
      <c r="W127" s="17" t="s">
        <v>209</v>
      </c>
      <c r="X127" s="17" t="s">
        <v>1802</v>
      </c>
      <c r="Y127" s="17" t="s">
        <v>1078</v>
      </c>
      <c r="Z127" s="17" t="s">
        <v>151</v>
      </c>
      <c r="AA127" s="17" t="s">
        <v>162</v>
      </c>
      <c r="AB127" s="17" t="s">
        <v>163</v>
      </c>
      <c r="AC127" s="19" t="s">
        <v>68</v>
      </c>
      <c r="AD127" s="20" t="s">
        <v>168</v>
      </c>
      <c r="AE127" s="21" t="s">
        <v>174</v>
      </c>
      <c r="AF127" s="22" t="s">
        <v>182</v>
      </c>
    </row>
    <row r="128" ht="43.5" customHeight="1">
      <c r="A128" s="17" t="s">
        <v>1835</v>
      </c>
      <c r="B128" s="17">
        <v>125.0</v>
      </c>
      <c r="C128" s="17" t="s">
        <v>1791</v>
      </c>
      <c r="D128" s="17">
        <v>9.0</v>
      </c>
      <c r="E128" s="17" t="s">
        <v>1792</v>
      </c>
      <c r="F128" s="17" t="s">
        <v>86</v>
      </c>
      <c r="G128" s="17">
        <v>4.0</v>
      </c>
      <c r="H128" s="17" t="s">
        <v>240</v>
      </c>
      <c r="I128" s="17" t="s">
        <v>817</v>
      </c>
      <c r="J128" s="17" t="s">
        <v>187</v>
      </c>
      <c r="K128" s="17" t="s">
        <v>188</v>
      </c>
      <c r="L128" s="17" t="s">
        <v>188</v>
      </c>
      <c r="M128" s="17" t="s">
        <v>819</v>
      </c>
      <c r="N128" s="17" t="s">
        <v>185</v>
      </c>
      <c r="O128" s="17" t="s">
        <v>249</v>
      </c>
      <c r="P128" s="17" t="s">
        <v>252</v>
      </c>
      <c r="Q128" s="17" t="s">
        <v>189</v>
      </c>
      <c r="R128" s="17" t="s">
        <v>484</v>
      </c>
      <c r="S128" s="17" t="s">
        <v>29</v>
      </c>
      <c r="T128" s="17" t="s">
        <v>820</v>
      </c>
      <c r="U128" s="17" t="s">
        <v>821</v>
      </c>
      <c r="V128" s="17" t="s">
        <v>1842</v>
      </c>
      <c r="W128" s="17" t="s">
        <v>260</v>
      </c>
      <c r="X128" s="17" t="s">
        <v>1802</v>
      </c>
      <c r="Y128" s="17" t="s">
        <v>261</v>
      </c>
      <c r="Z128" s="17" t="s">
        <v>151</v>
      </c>
      <c r="AA128" s="17" t="s">
        <v>162</v>
      </c>
      <c r="AB128" s="17" t="s">
        <v>1844</v>
      </c>
      <c r="AC128" s="19" t="s">
        <v>68</v>
      </c>
      <c r="AD128" s="20" t="s">
        <v>168</v>
      </c>
      <c r="AE128" s="21" t="s">
        <v>174</v>
      </c>
      <c r="AF128" s="23" t="s">
        <v>272</v>
      </c>
    </row>
    <row r="129" ht="43.5" customHeight="1">
      <c r="A129" s="17" t="s">
        <v>1846</v>
      </c>
      <c r="B129" s="17">
        <v>126.0</v>
      </c>
      <c r="C129" s="17" t="s">
        <v>1791</v>
      </c>
      <c r="D129" s="17">
        <v>9.0</v>
      </c>
      <c r="E129" s="17" t="s">
        <v>1792</v>
      </c>
      <c r="F129" s="17" t="s">
        <v>86</v>
      </c>
      <c r="G129" s="17">
        <v>4.0</v>
      </c>
      <c r="H129" s="17" t="s">
        <v>123</v>
      </c>
      <c r="I129" s="17" t="s">
        <v>1851</v>
      </c>
      <c r="J129" s="17" t="s">
        <v>1852</v>
      </c>
      <c r="K129" s="17" t="s">
        <v>1853</v>
      </c>
      <c r="L129" s="17" t="s">
        <v>1853</v>
      </c>
      <c r="M129" s="17" t="s">
        <v>1821</v>
      </c>
      <c r="N129" s="17"/>
      <c r="O129" s="17" t="s">
        <v>249</v>
      </c>
      <c r="P129" s="17" t="s">
        <v>593</v>
      </c>
      <c r="Q129" s="17" t="s">
        <v>1798</v>
      </c>
      <c r="R129" s="17" t="s">
        <v>484</v>
      </c>
      <c r="S129" s="17" t="s">
        <v>232</v>
      </c>
      <c r="T129" s="17" t="s">
        <v>1862</v>
      </c>
      <c r="U129" s="17" t="s">
        <v>1864</v>
      </c>
      <c r="V129" s="17" t="s">
        <v>1865</v>
      </c>
      <c r="W129" s="17" t="s">
        <v>209</v>
      </c>
      <c r="X129" s="17" t="s">
        <v>1802</v>
      </c>
      <c r="Y129" s="17" t="s">
        <v>1078</v>
      </c>
      <c r="Z129" s="17" t="s">
        <v>151</v>
      </c>
      <c r="AA129" s="17" t="s">
        <v>162</v>
      </c>
      <c r="AB129" s="17" t="s">
        <v>163</v>
      </c>
      <c r="AC129" s="19" t="s">
        <v>68</v>
      </c>
      <c r="AD129" s="20" t="s">
        <v>168</v>
      </c>
      <c r="AE129" s="21" t="s">
        <v>174</v>
      </c>
      <c r="AF129" s="22" t="s">
        <v>182</v>
      </c>
    </row>
    <row r="130" ht="43.5" customHeight="1">
      <c r="A130" s="17" t="s">
        <v>1869</v>
      </c>
      <c r="B130" s="17">
        <v>127.0</v>
      </c>
      <c r="C130" s="17" t="s">
        <v>1791</v>
      </c>
      <c r="D130" s="17">
        <v>9.0</v>
      </c>
      <c r="E130" s="17" t="s">
        <v>1792</v>
      </c>
      <c r="F130" s="17" t="s">
        <v>86</v>
      </c>
      <c r="G130" s="17">
        <v>5.0</v>
      </c>
      <c r="H130" s="17" t="s">
        <v>123</v>
      </c>
      <c r="I130" s="17" t="s">
        <v>1873</v>
      </c>
      <c r="J130" s="17" t="s">
        <v>1874</v>
      </c>
      <c r="K130" s="17" t="s">
        <v>1875</v>
      </c>
      <c r="L130" s="17" t="s">
        <v>1875</v>
      </c>
      <c r="M130" s="17" t="s">
        <v>1853</v>
      </c>
      <c r="N130" s="17"/>
      <c r="O130" s="17" t="s">
        <v>249</v>
      </c>
      <c r="P130" s="17" t="s">
        <v>593</v>
      </c>
      <c r="Q130" s="17" t="s">
        <v>1798</v>
      </c>
      <c r="R130" s="17" t="s">
        <v>484</v>
      </c>
      <c r="S130" s="17" t="s">
        <v>232</v>
      </c>
      <c r="T130" s="17" t="s">
        <v>1877</v>
      </c>
      <c r="U130" s="17" t="s">
        <v>1878</v>
      </c>
      <c r="V130" s="17" t="s">
        <v>1880</v>
      </c>
      <c r="W130" s="17" t="s">
        <v>145</v>
      </c>
      <c r="X130" s="17" t="s">
        <v>1802</v>
      </c>
      <c r="Y130" s="17" t="s">
        <v>1078</v>
      </c>
      <c r="Z130" s="17" t="s">
        <v>151</v>
      </c>
      <c r="AA130" s="17" t="s">
        <v>162</v>
      </c>
      <c r="AB130" s="17" t="s">
        <v>163</v>
      </c>
      <c r="AC130" s="19" t="s">
        <v>68</v>
      </c>
      <c r="AD130" s="20" t="s">
        <v>168</v>
      </c>
      <c r="AE130" s="21" t="s">
        <v>174</v>
      </c>
      <c r="AF130" s="22" t="s">
        <v>182</v>
      </c>
    </row>
    <row r="131" ht="43.5" customHeight="1">
      <c r="A131" s="17" t="s">
        <v>1886</v>
      </c>
      <c r="B131" s="17">
        <v>128.0</v>
      </c>
      <c r="C131" s="17" t="s">
        <v>1791</v>
      </c>
      <c r="D131" s="17">
        <v>9.0</v>
      </c>
      <c r="E131" s="17" t="s">
        <v>1792</v>
      </c>
      <c r="F131" s="17" t="s">
        <v>86</v>
      </c>
      <c r="G131" s="17">
        <v>6.0</v>
      </c>
      <c r="H131" s="17" t="s">
        <v>123</v>
      </c>
      <c r="I131" s="17" t="s">
        <v>1888</v>
      </c>
      <c r="J131" s="17" t="s">
        <v>1889</v>
      </c>
      <c r="K131" s="17" t="s">
        <v>1890</v>
      </c>
      <c r="L131" s="17" t="s">
        <v>1890</v>
      </c>
      <c r="M131" s="17" t="s">
        <v>1875</v>
      </c>
      <c r="N131" s="17"/>
      <c r="O131" s="17" t="s">
        <v>249</v>
      </c>
      <c r="P131" s="17" t="s">
        <v>593</v>
      </c>
      <c r="Q131" s="17" t="s">
        <v>1798</v>
      </c>
      <c r="R131" s="17" t="s">
        <v>484</v>
      </c>
      <c r="S131" s="17" t="s">
        <v>232</v>
      </c>
      <c r="T131" s="17" t="s">
        <v>1896</v>
      </c>
      <c r="U131" s="17" t="s">
        <v>1897</v>
      </c>
      <c r="V131" s="17" t="s">
        <v>1899</v>
      </c>
      <c r="W131" s="17" t="s">
        <v>209</v>
      </c>
      <c r="X131" s="17" t="s">
        <v>1802</v>
      </c>
      <c r="Y131" s="17" t="s">
        <v>1078</v>
      </c>
      <c r="Z131" s="17" t="s">
        <v>151</v>
      </c>
      <c r="AA131" s="17" t="s">
        <v>162</v>
      </c>
      <c r="AB131" s="17" t="s">
        <v>163</v>
      </c>
      <c r="AC131" s="19" t="s">
        <v>68</v>
      </c>
      <c r="AD131" s="20" t="s">
        <v>168</v>
      </c>
      <c r="AE131" s="21" t="s">
        <v>174</v>
      </c>
      <c r="AF131" s="24" t="s">
        <v>315</v>
      </c>
    </row>
    <row r="132" ht="43.5" customHeight="1">
      <c r="A132" s="17" t="s">
        <v>1903</v>
      </c>
      <c r="B132" s="17">
        <v>129.0</v>
      </c>
      <c r="C132" s="17" t="s">
        <v>1791</v>
      </c>
      <c r="D132" s="17">
        <v>9.0</v>
      </c>
      <c r="E132" s="17" t="s">
        <v>1792</v>
      </c>
      <c r="F132" s="17" t="s">
        <v>86</v>
      </c>
      <c r="G132" s="17">
        <v>7.0</v>
      </c>
      <c r="H132" s="17" t="s">
        <v>123</v>
      </c>
      <c r="I132" s="17" t="s">
        <v>1905</v>
      </c>
      <c r="J132" s="17" t="s">
        <v>1906</v>
      </c>
      <c r="K132" s="17" t="s">
        <v>1796</v>
      </c>
      <c r="L132" s="17" t="s">
        <v>1796</v>
      </c>
      <c r="M132" s="17" t="s">
        <v>1890</v>
      </c>
      <c r="N132" s="17"/>
      <c r="O132" s="17" t="s">
        <v>249</v>
      </c>
      <c r="P132" s="17" t="s">
        <v>593</v>
      </c>
      <c r="Q132" s="17" t="s">
        <v>1798</v>
      </c>
      <c r="R132" s="17" t="s">
        <v>484</v>
      </c>
      <c r="S132" s="17" t="s">
        <v>232</v>
      </c>
      <c r="T132" s="17" t="s">
        <v>1799</v>
      </c>
      <c r="U132" s="17" t="s">
        <v>1908</v>
      </c>
      <c r="V132" s="17" t="s">
        <v>1801</v>
      </c>
      <c r="W132" s="17" t="s">
        <v>209</v>
      </c>
      <c r="X132" s="17" t="s">
        <v>1802</v>
      </c>
      <c r="Y132" s="17" t="s">
        <v>1078</v>
      </c>
      <c r="Z132" s="17" t="s">
        <v>151</v>
      </c>
      <c r="AA132" s="17" t="s">
        <v>162</v>
      </c>
      <c r="AB132" s="17" t="s">
        <v>163</v>
      </c>
      <c r="AC132" s="19" t="s">
        <v>68</v>
      </c>
      <c r="AD132" s="20" t="s">
        <v>168</v>
      </c>
      <c r="AE132" s="21" t="s">
        <v>174</v>
      </c>
      <c r="AF132" s="24" t="s">
        <v>315</v>
      </c>
    </row>
    <row r="133" ht="43.5" customHeight="1">
      <c r="A133" s="17" t="s">
        <v>1912</v>
      </c>
      <c r="B133" s="17">
        <v>130.0</v>
      </c>
      <c r="C133" s="17" t="s">
        <v>1791</v>
      </c>
      <c r="D133" s="17">
        <v>9.0</v>
      </c>
      <c r="E133" s="17" t="s">
        <v>1792</v>
      </c>
      <c r="F133" s="17" t="s">
        <v>86</v>
      </c>
      <c r="G133" s="17">
        <v>8.0</v>
      </c>
      <c r="H133" s="17" t="s">
        <v>123</v>
      </c>
      <c r="I133" s="17" t="s">
        <v>1913</v>
      </c>
      <c r="J133" s="17" t="s">
        <v>1915</v>
      </c>
      <c r="K133" s="17" t="s">
        <v>1810</v>
      </c>
      <c r="L133" s="17" t="s">
        <v>1810</v>
      </c>
      <c r="M133" s="17" t="s">
        <v>1796</v>
      </c>
      <c r="N133" s="17"/>
      <c r="O133" s="17" t="s">
        <v>249</v>
      </c>
      <c r="P133" s="17" t="s">
        <v>593</v>
      </c>
      <c r="Q133" s="17" t="s">
        <v>1798</v>
      </c>
      <c r="R133" s="17" t="s">
        <v>484</v>
      </c>
      <c r="S133" s="17" t="s">
        <v>232</v>
      </c>
      <c r="T133" s="17" t="s">
        <v>1811</v>
      </c>
      <c r="U133" s="17" t="s">
        <v>1918</v>
      </c>
      <c r="V133" s="17" t="s">
        <v>1813</v>
      </c>
      <c r="W133" s="17" t="s">
        <v>209</v>
      </c>
      <c r="X133" s="17" t="s">
        <v>1802</v>
      </c>
      <c r="Y133" s="17" t="s">
        <v>1078</v>
      </c>
      <c r="Z133" s="17" t="s">
        <v>151</v>
      </c>
      <c r="AA133" s="17" t="s">
        <v>162</v>
      </c>
      <c r="AB133" s="17" t="s">
        <v>163</v>
      </c>
      <c r="AC133" s="19" t="s">
        <v>68</v>
      </c>
      <c r="AD133" s="20" t="s">
        <v>168</v>
      </c>
      <c r="AE133" s="21" t="s">
        <v>174</v>
      </c>
      <c r="AF133" s="24" t="s">
        <v>315</v>
      </c>
    </row>
    <row r="134" ht="43.5" customHeight="1">
      <c r="A134" s="17" t="s">
        <v>1920</v>
      </c>
      <c r="B134" s="17">
        <v>131.0</v>
      </c>
      <c r="C134" s="17" t="s">
        <v>1791</v>
      </c>
      <c r="D134" s="17">
        <v>9.0</v>
      </c>
      <c r="E134" s="17" t="s">
        <v>1792</v>
      </c>
      <c r="F134" s="17" t="s">
        <v>86</v>
      </c>
      <c r="G134" s="17">
        <v>9.0</v>
      </c>
      <c r="H134" s="17" t="s">
        <v>123</v>
      </c>
      <c r="I134" s="17" t="s">
        <v>1922</v>
      </c>
      <c r="J134" s="17" t="s">
        <v>1923</v>
      </c>
      <c r="K134" s="17" t="s">
        <v>1821</v>
      </c>
      <c r="L134" s="17" t="s">
        <v>1821</v>
      </c>
      <c r="M134" s="17" t="s">
        <v>1810</v>
      </c>
      <c r="N134" s="17"/>
      <c r="O134" s="17" t="s">
        <v>249</v>
      </c>
      <c r="P134" s="17" t="s">
        <v>593</v>
      </c>
      <c r="Q134" s="17" t="s">
        <v>1798</v>
      </c>
      <c r="R134" s="17" t="s">
        <v>484</v>
      </c>
      <c r="S134" s="17" t="s">
        <v>232</v>
      </c>
      <c r="T134" s="17" t="s">
        <v>1829</v>
      </c>
      <c r="U134" s="17" t="s">
        <v>1926</v>
      </c>
      <c r="V134" s="17" t="s">
        <v>1833</v>
      </c>
      <c r="W134" s="17" t="s">
        <v>209</v>
      </c>
      <c r="X134" s="17" t="s">
        <v>1802</v>
      </c>
      <c r="Y134" s="17" t="s">
        <v>1078</v>
      </c>
      <c r="Z134" s="17" t="s">
        <v>151</v>
      </c>
      <c r="AA134" s="17" t="s">
        <v>162</v>
      </c>
      <c r="AB134" s="17" t="s">
        <v>163</v>
      </c>
      <c r="AC134" s="19" t="s">
        <v>68</v>
      </c>
      <c r="AD134" s="20" t="s">
        <v>168</v>
      </c>
      <c r="AE134" s="21" t="s">
        <v>174</v>
      </c>
      <c r="AF134" s="24" t="s">
        <v>315</v>
      </c>
    </row>
    <row r="135" ht="43.5" customHeight="1">
      <c r="A135" s="17" t="s">
        <v>1931</v>
      </c>
      <c r="B135" s="17">
        <v>132.0</v>
      </c>
      <c r="C135" s="17" t="s">
        <v>1791</v>
      </c>
      <c r="D135" s="17">
        <v>9.0</v>
      </c>
      <c r="E135" s="17" t="s">
        <v>1792</v>
      </c>
      <c r="F135" s="17" t="s">
        <v>86</v>
      </c>
      <c r="G135" s="17">
        <v>11.0</v>
      </c>
      <c r="H135" s="17" t="s">
        <v>370</v>
      </c>
      <c r="I135" s="17" t="s">
        <v>1933</v>
      </c>
      <c r="J135" s="17" t="s">
        <v>1934</v>
      </c>
      <c r="K135" s="17" t="s">
        <v>1935</v>
      </c>
      <c r="L135" s="17" t="s">
        <v>1796</v>
      </c>
      <c r="M135" s="17" t="s">
        <v>375</v>
      </c>
      <c r="N135" s="17" t="s">
        <v>376</v>
      </c>
      <c r="O135" s="17" t="s">
        <v>130</v>
      </c>
      <c r="P135" s="17" t="s">
        <v>377</v>
      </c>
      <c r="Q135" s="17" t="s">
        <v>378</v>
      </c>
      <c r="R135" s="17" t="s">
        <v>379</v>
      </c>
      <c r="S135" s="17" t="s">
        <v>232</v>
      </c>
      <c r="T135" s="17" t="s">
        <v>1937</v>
      </c>
      <c r="U135" s="17" t="s">
        <v>1938</v>
      </c>
      <c r="V135" s="17" t="s">
        <v>1939</v>
      </c>
      <c r="W135" s="17" t="s">
        <v>389</v>
      </c>
      <c r="X135" s="17" t="s">
        <v>1802</v>
      </c>
      <c r="Y135" s="17" t="s">
        <v>391</v>
      </c>
      <c r="Z135" s="17" t="s">
        <v>151</v>
      </c>
      <c r="AA135" s="17" t="s">
        <v>162</v>
      </c>
      <c r="AB135" s="17" t="s">
        <v>395</v>
      </c>
      <c r="AC135" s="19" t="s">
        <v>68</v>
      </c>
      <c r="AD135" s="20" t="s">
        <v>168</v>
      </c>
      <c r="AE135" s="21" t="s">
        <v>174</v>
      </c>
      <c r="AF135" s="22" t="s">
        <v>182</v>
      </c>
    </row>
    <row r="136" ht="43.5" customHeight="1">
      <c r="A136" s="17" t="s">
        <v>1943</v>
      </c>
      <c r="B136" s="17">
        <v>133.0</v>
      </c>
      <c r="C136" s="17" t="s">
        <v>1791</v>
      </c>
      <c r="D136" s="17">
        <v>9.0</v>
      </c>
      <c r="E136" s="17" t="s">
        <v>1792</v>
      </c>
      <c r="F136" s="17" t="s">
        <v>86</v>
      </c>
      <c r="G136" s="17">
        <v>10.0</v>
      </c>
      <c r="H136" s="17" t="s">
        <v>123</v>
      </c>
      <c r="I136" s="17" t="s">
        <v>1944</v>
      </c>
      <c r="J136" s="17" t="s">
        <v>1945</v>
      </c>
      <c r="K136" s="17" t="s">
        <v>1853</v>
      </c>
      <c r="L136" s="17" t="s">
        <v>1853</v>
      </c>
      <c r="M136" s="17" t="s">
        <v>1821</v>
      </c>
      <c r="N136" s="17"/>
      <c r="O136" s="17" t="s">
        <v>249</v>
      </c>
      <c r="P136" s="17" t="s">
        <v>593</v>
      </c>
      <c r="Q136" s="17" t="s">
        <v>1798</v>
      </c>
      <c r="R136" s="17" t="s">
        <v>484</v>
      </c>
      <c r="S136" s="17" t="s">
        <v>232</v>
      </c>
      <c r="T136" s="17" t="s">
        <v>1862</v>
      </c>
      <c r="U136" s="17" t="s">
        <v>1947</v>
      </c>
      <c r="V136" s="17" t="s">
        <v>1865</v>
      </c>
      <c r="W136" s="17" t="s">
        <v>417</v>
      </c>
      <c r="X136" s="17" t="s">
        <v>1802</v>
      </c>
      <c r="Y136" s="17" t="s">
        <v>1078</v>
      </c>
      <c r="Z136" s="17" t="s">
        <v>151</v>
      </c>
      <c r="AA136" s="17" t="s">
        <v>162</v>
      </c>
      <c r="AB136" s="17" t="s">
        <v>163</v>
      </c>
      <c r="AC136" s="19" t="s">
        <v>68</v>
      </c>
      <c r="AD136" s="20" t="s">
        <v>168</v>
      </c>
      <c r="AE136" s="21" t="s">
        <v>174</v>
      </c>
      <c r="AF136" s="24" t="s">
        <v>315</v>
      </c>
    </row>
    <row r="137" ht="43.5" customHeight="1">
      <c r="A137" s="17" t="s">
        <v>1949</v>
      </c>
      <c r="B137" s="17">
        <v>134.0</v>
      </c>
      <c r="C137" s="17" t="s">
        <v>1791</v>
      </c>
      <c r="D137" s="17">
        <v>9.0</v>
      </c>
      <c r="E137" s="17" t="s">
        <v>1792</v>
      </c>
      <c r="F137" s="17" t="s">
        <v>86</v>
      </c>
      <c r="G137" s="17">
        <v>11.0</v>
      </c>
      <c r="H137" s="17" t="s">
        <v>123</v>
      </c>
      <c r="I137" s="17" t="s">
        <v>1950</v>
      </c>
      <c r="J137" s="17" t="s">
        <v>1952</v>
      </c>
      <c r="K137" s="17" t="s">
        <v>1875</v>
      </c>
      <c r="L137" s="17" t="s">
        <v>1875</v>
      </c>
      <c r="M137" s="17" t="s">
        <v>1853</v>
      </c>
      <c r="N137" s="17"/>
      <c r="O137" s="17" t="s">
        <v>249</v>
      </c>
      <c r="P137" s="17" t="s">
        <v>593</v>
      </c>
      <c r="Q137" s="17" t="s">
        <v>1798</v>
      </c>
      <c r="R137" s="17" t="s">
        <v>484</v>
      </c>
      <c r="S137" s="17" t="s">
        <v>232</v>
      </c>
      <c r="T137" s="17" t="s">
        <v>1877</v>
      </c>
      <c r="U137" s="17" t="s">
        <v>1956</v>
      </c>
      <c r="V137" s="17" t="s">
        <v>1880</v>
      </c>
      <c r="W137" s="17" t="s">
        <v>437</v>
      </c>
      <c r="X137" s="17" t="s">
        <v>1802</v>
      </c>
      <c r="Y137" s="17" t="s">
        <v>1078</v>
      </c>
      <c r="Z137" s="17" t="s">
        <v>151</v>
      </c>
      <c r="AA137" s="17" t="s">
        <v>162</v>
      </c>
      <c r="AB137" s="17" t="s">
        <v>163</v>
      </c>
      <c r="AC137" s="19" t="s">
        <v>68</v>
      </c>
      <c r="AD137" s="20" t="s">
        <v>168</v>
      </c>
      <c r="AE137" s="21" t="s">
        <v>174</v>
      </c>
      <c r="AF137" s="22" t="s">
        <v>182</v>
      </c>
    </row>
    <row r="138" ht="43.5" customHeight="1">
      <c r="A138" s="17" t="s">
        <v>1958</v>
      </c>
      <c r="B138" s="17">
        <v>135.0</v>
      </c>
      <c r="C138" s="17" t="s">
        <v>1791</v>
      </c>
      <c r="D138" s="17">
        <v>9.0</v>
      </c>
      <c r="E138" s="17" t="s">
        <v>1792</v>
      </c>
      <c r="F138" s="17" t="s">
        <v>86</v>
      </c>
      <c r="G138" s="17">
        <v>12.0</v>
      </c>
      <c r="H138" s="17" t="s">
        <v>123</v>
      </c>
      <c r="I138" s="17" t="s">
        <v>1959</v>
      </c>
      <c r="J138" s="17" t="s">
        <v>1960</v>
      </c>
      <c r="K138" s="17" t="s">
        <v>1890</v>
      </c>
      <c r="L138" s="17" t="s">
        <v>1890</v>
      </c>
      <c r="M138" s="17" t="s">
        <v>1875</v>
      </c>
      <c r="N138" s="17"/>
      <c r="O138" s="17" t="s">
        <v>249</v>
      </c>
      <c r="P138" s="17" t="s">
        <v>593</v>
      </c>
      <c r="Q138" s="17" t="s">
        <v>1798</v>
      </c>
      <c r="R138" s="17" t="s">
        <v>484</v>
      </c>
      <c r="S138" s="17" t="s">
        <v>232</v>
      </c>
      <c r="T138" s="17" t="s">
        <v>1896</v>
      </c>
      <c r="U138" s="17" t="s">
        <v>1961</v>
      </c>
      <c r="V138" s="17" t="s">
        <v>1899</v>
      </c>
      <c r="W138" s="17" t="s">
        <v>452</v>
      </c>
      <c r="X138" s="17" t="s">
        <v>1802</v>
      </c>
      <c r="Y138" s="17" t="s">
        <v>1078</v>
      </c>
      <c r="Z138" s="17" t="s">
        <v>151</v>
      </c>
      <c r="AA138" s="17" t="s">
        <v>162</v>
      </c>
      <c r="AB138" s="17" t="s">
        <v>163</v>
      </c>
      <c r="AC138" s="19" t="s">
        <v>68</v>
      </c>
      <c r="AD138" s="20" t="s">
        <v>168</v>
      </c>
      <c r="AE138" s="21" t="s">
        <v>174</v>
      </c>
      <c r="AF138" s="22" t="s">
        <v>182</v>
      </c>
    </row>
    <row r="139" ht="43.5" customHeight="1">
      <c r="A139" s="17" t="s">
        <v>1962</v>
      </c>
      <c r="B139" s="17">
        <v>136.0</v>
      </c>
      <c r="C139" s="17" t="s">
        <v>1791</v>
      </c>
      <c r="D139" s="17">
        <v>9.0</v>
      </c>
      <c r="E139" s="17" t="s">
        <v>1792</v>
      </c>
      <c r="F139" s="17" t="s">
        <v>86</v>
      </c>
      <c r="G139" s="17">
        <v>15.0</v>
      </c>
      <c r="H139" s="17" t="s">
        <v>370</v>
      </c>
      <c r="I139" s="17" t="s">
        <v>1963</v>
      </c>
      <c r="J139" s="17" t="s">
        <v>1964</v>
      </c>
      <c r="K139" s="17" t="s">
        <v>1965</v>
      </c>
      <c r="L139" s="17" t="s">
        <v>1810</v>
      </c>
      <c r="M139" s="17" t="s">
        <v>375</v>
      </c>
      <c r="N139" s="17" t="s">
        <v>376</v>
      </c>
      <c r="O139" s="17" t="s">
        <v>130</v>
      </c>
      <c r="P139" s="17" t="s">
        <v>377</v>
      </c>
      <c r="Q139" s="17" t="s">
        <v>378</v>
      </c>
      <c r="R139" s="17" t="s">
        <v>379</v>
      </c>
      <c r="S139" s="17" t="s">
        <v>232</v>
      </c>
      <c r="T139" s="17" t="s">
        <v>1966</v>
      </c>
      <c r="U139" s="17" t="s">
        <v>1967</v>
      </c>
      <c r="V139" s="17" t="s">
        <v>1968</v>
      </c>
      <c r="W139" s="17" t="s">
        <v>389</v>
      </c>
      <c r="X139" s="17" t="s">
        <v>1802</v>
      </c>
      <c r="Y139" s="17" t="s">
        <v>391</v>
      </c>
      <c r="Z139" s="17" t="s">
        <v>151</v>
      </c>
      <c r="AA139" s="17" t="s">
        <v>162</v>
      </c>
      <c r="AB139" s="17" t="s">
        <v>395</v>
      </c>
      <c r="AC139" s="19" t="s">
        <v>68</v>
      </c>
      <c r="AD139" s="20" t="s">
        <v>168</v>
      </c>
      <c r="AE139" s="21" t="s">
        <v>174</v>
      </c>
      <c r="AF139" s="22" t="s">
        <v>182</v>
      </c>
    </row>
    <row r="140" ht="43.5" customHeight="1">
      <c r="A140" s="17" t="s">
        <v>1969</v>
      </c>
      <c r="B140" s="17">
        <v>137.0</v>
      </c>
      <c r="C140" s="17" t="s">
        <v>1791</v>
      </c>
      <c r="D140" s="17">
        <v>9.0</v>
      </c>
      <c r="E140" s="17" t="s">
        <v>1792</v>
      </c>
      <c r="F140" s="17" t="s">
        <v>86</v>
      </c>
      <c r="G140" s="17">
        <v>16.0</v>
      </c>
      <c r="H140" s="17" t="s">
        <v>460</v>
      </c>
      <c r="I140" s="17" t="s">
        <v>1970</v>
      </c>
      <c r="J140" s="17" t="s">
        <v>462</v>
      </c>
      <c r="K140" s="17" t="s">
        <v>463</v>
      </c>
      <c r="L140" s="17" t="s">
        <v>464</v>
      </c>
      <c r="M140" s="17" t="s">
        <v>465</v>
      </c>
      <c r="N140" s="17" t="s">
        <v>466</v>
      </c>
      <c r="O140" s="17" t="s">
        <v>130</v>
      </c>
      <c r="P140" s="17" t="s">
        <v>133</v>
      </c>
      <c r="Q140" s="17" t="s">
        <v>467</v>
      </c>
      <c r="R140" s="17" t="s">
        <v>379</v>
      </c>
      <c r="S140" s="17" t="s">
        <v>82</v>
      </c>
      <c r="T140" s="17" t="s">
        <v>469</v>
      </c>
      <c r="U140" s="17" t="s">
        <v>1961</v>
      </c>
      <c r="V140" s="17" t="s">
        <v>470</v>
      </c>
      <c r="W140" s="17" t="s">
        <v>471</v>
      </c>
      <c r="X140" s="17" t="s">
        <v>1802</v>
      </c>
      <c r="Y140" s="17" t="s">
        <v>472</v>
      </c>
      <c r="Z140" s="17" t="s">
        <v>151</v>
      </c>
      <c r="AA140" s="17" t="s">
        <v>162</v>
      </c>
      <c r="AB140" s="17" t="s">
        <v>473</v>
      </c>
      <c r="AC140" s="19" t="s">
        <v>68</v>
      </c>
      <c r="AD140" s="20" t="s">
        <v>168</v>
      </c>
      <c r="AE140" s="21" t="s">
        <v>174</v>
      </c>
      <c r="AF140" s="24" t="s">
        <v>315</v>
      </c>
    </row>
    <row r="141" ht="43.5" customHeight="1">
      <c r="A141" s="17" t="s">
        <v>1971</v>
      </c>
      <c r="B141" s="17">
        <v>138.0</v>
      </c>
      <c r="C141" s="17" t="s">
        <v>1972</v>
      </c>
      <c r="D141" s="17">
        <v>10.0</v>
      </c>
      <c r="E141" s="17" t="s">
        <v>1973</v>
      </c>
      <c r="F141" s="17" t="s">
        <v>1974</v>
      </c>
      <c r="G141" s="17">
        <v>1.0</v>
      </c>
      <c r="H141" s="17" t="s">
        <v>123</v>
      </c>
      <c r="I141" s="17" t="s">
        <v>1975</v>
      </c>
      <c r="J141" s="17" t="s">
        <v>1976</v>
      </c>
      <c r="K141" s="17" t="s">
        <v>1977</v>
      </c>
      <c r="L141" s="17" t="s">
        <v>1977</v>
      </c>
      <c r="M141" s="17" t="s">
        <v>128</v>
      </c>
      <c r="N141" s="17"/>
      <c r="O141" s="17" t="s">
        <v>592</v>
      </c>
      <c r="P141" s="17" t="s">
        <v>878</v>
      </c>
      <c r="Q141" s="17" t="s">
        <v>1978</v>
      </c>
      <c r="R141" s="17" t="s">
        <v>1979</v>
      </c>
      <c r="S141" s="17" t="s">
        <v>1980</v>
      </c>
      <c r="T141" s="17" t="s">
        <v>1981</v>
      </c>
      <c r="U141" s="17" t="s">
        <v>1982</v>
      </c>
      <c r="V141" s="17" t="s">
        <v>1983</v>
      </c>
      <c r="W141" s="17" t="s">
        <v>145</v>
      </c>
      <c r="X141" s="17" t="s">
        <v>1984</v>
      </c>
      <c r="Y141" s="17" t="s">
        <v>1985</v>
      </c>
      <c r="Z141" s="17" t="s">
        <v>151</v>
      </c>
      <c r="AA141" s="17" t="s">
        <v>162</v>
      </c>
      <c r="AB141" s="17" t="s">
        <v>163</v>
      </c>
      <c r="AC141" s="19" t="s">
        <v>68</v>
      </c>
      <c r="AD141" s="20" t="s">
        <v>168</v>
      </c>
      <c r="AE141" s="21" t="s">
        <v>174</v>
      </c>
      <c r="AF141" s="22" t="s">
        <v>182</v>
      </c>
    </row>
    <row r="142" ht="43.5" customHeight="1">
      <c r="A142" s="17" t="s">
        <v>1986</v>
      </c>
      <c r="B142" s="17">
        <v>139.0</v>
      </c>
      <c r="C142" s="17" t="s">
        <v>1972</v>
      </c>
      <c r="D142" s="17">
        <v>10.0</v>
      </c>
      <c r="E142" s="17" t="s">
        <v>1973</v>
      </c>
      <c r="F142" s="17" t="s">
        <v>1974</v>
      </c>
      <c r="G142" s="17">
        <v>2.0</v>
      </c>
      <c r="H142" s="17" t="s">
        <v>123</v>
      </c>
      <c r="I142" s="17" t="s">
        <v>1987</v>
      </c>
      <c r="J142" s="17" t="s">
        <v>1988</v>
      </c>
      <c r="K142" s="17" t="s">
        <v>1989</v>
      </c>
      <c r="L142" s="17" t="s">
        <v>1989</v>
      </c>
      <c r="M142" s="17" t="s">
        <v>1977</v>
      </c>
      <c r="N142" s="17"/>
      <c r="O142" s="17" t="s">
        <v>592</v>
      </c>
      <c r="P142" s="17" t="s">
        <v>878</v>
      </c>
      <c r="Q142" s="17" t="s">
        <v>1978</v>
      </c>
      <c r="R142" s="17" t="s">
        <v>1979</v>
      </c>
      <c r="S142" s="17" t="s">
        <v>1980</v>
      </c>
      <c r="T142" s="17" t="s">
        <v>1990</v>
      </c>
      <c r="U142" s="17" t="s">
        <v>1991</v>
      </c>
      <c r="V142" s="17" t="s">
        <v>1992</v>
      </c>
      <c r="W142" s="17" t="s">
        <v>209</v>
      </c>
      <c r="X142" s="17" t="s">
        <v>1984</v>
      </c>
      <c r="Y142" s="17" t="s">
        <v>1985</v>
      </c>
      <c r="Z142" s="17" t="s">
        <v>151</v>
      </c>
      <c r="AA142" s="17" t="s">
        <v>162</v>
      </c>
      <c r="AB142" s="17" t="s">
        <v>163</v>
      </c>
      <c r="AC142" s="19" t="s">
        <v>68</v>
      </c>
      <c r="AD142" s="20" t="s">
        <v>168</v>
      </c>
      <c r="AE142" s="21" t="s">
        <v>174</v>
      </c>
      <c r="AF142" s="22" t="s">
        <v>182</v>
      </c>
    </row>
    <row r="143" ht="43.5" customHeight="1">
      <c r="A143" s="17" t="s">
        <v>1993</v>
      </c>
      <c r="B143" s="17">
        <v>140.0</v>
      </c>
      <c r="C143" s="17" t="s">
        <v>1972</v>
      </c>
      <c r="D143" s="17">
        <v>10.0</v>
      </c>
      <c r="E143" s="17" t="s">
        <v>1973</v>
      </c>
      <c r="F143" s="17" t="s">
        <v>1974</v>
      </c>
      <c r="G143" s="17">
        <v>3.0</v>
      </c>
      <c r="H143" s="17" t="s">
        <v>123</v>
      </c>
      <c r="I143" s="17" t="s">
        <v>1994</v>
      </c>
      <c r="J143" s="17" t="s">
        <v>1995</v>
      </c>
      <c r="K143" s="17" t="s">
        <v>1996</v>
      </c>
      <c r="L143" s="17" t="s">
        <v>1996</v>
      </c>
      <c r="M143" s="17" t="s">
        <v>1989</v>
      </c>
      <c r="N143" s="17"/>
      <c r="O143" s="17" t="s">
        <v>592</v>
      </c>
      <c r="P143" s="17" t="s">
        <v>878</v>
      </c>
      <c r="Q143" s="17" t="s">
        <v>1978</v>
      </c>
      <c r="R143" s="17" t="s">
        <v>1979</v>
      </c>
      <c r="S143" s="17" t="s">
        <v>1980</v>
      </c>
      <c r="T143" s="17" t="s">
        <v>1997</v>
      </c>
      <c r="U143" s="17" t="s">
        <v>1998</v>
      </c>
      <c r="V143" s="17" t="s">
        <v>1999</v>
      </c>
      <c r="W143" s="17" t="s">
        <v>209</v>
      </c>
      <c r="X143" s="17" t="s">
        <v>1984</v>
      </c>
      <c r="Y143" s="17" t="s">
        <v>1985</v>
      </c>
      <c r="Z143" s="17" t="s">
        <v>151</v>
      </c>
      <c r="AA143" s="17" t="s">
        <v>162</v>
      </c>
      <c r="AB143" s="17" t="s">
        <v>163</v>
      </c>
      <c r="AC143" s="19" t="s">
        <v>68</v>
      </c>
      <c r="AD143" s="20" t="s">
        <v>168</v>
      </c>
      <c r="AE143" s="21" t="s">
        <v>174</v>
      </c>
      <c r="AF143" s="22" t="s">
        <v>182</v>
      </c>
    </row>
    <row r="144" ht="43.5" customHeight="1">
      <c r="A144" s="17" t="s">
        <v>2000</v>
      </c>
      <c r="B144" s="17">
        <v>141.0</v>
      </c>
      <c r="C144" s="17" t="s">
        <v>1972</v>
      </c>
      <c r="D144" s="17">
        <v>10.0</v>
      </c>
      <c r="E144" s="17" t="s">
        <v>1973</v>
      </c>
      <c r="F144" s="17" t="s">
        <v>399</v>
      </c>
      <c r="G144" s="17">
        <v>4.0</v>
      </c>
      <c r="H144" s="17" t="s">
        <v>240</v>
      </c>
      <c r="I144" s="17" t="s">
        <v>2001</v>
      </c>
      <c r="J144" s="17" t="s">
        <v>401</v>
      </c>
      <c r="K144" s="17" t="s">
        <v>402</v>
      </c>
      <c r="L144" s="17" t="s">
        <v>402</v>
      </c>
      <c r="M144" s="17" t="s">
        <v>2002</v>
      </c>
      <c r="N144" s="17" t="s">
        <v>398</v>
      </c>
      <c r="O144" s="17" t="s">
        <v>249</v>
      </c>
      <c r="P144" s="17" t="s">
        <v>252</v>
      </c>
      <c r="Q144" s="17" t="s">
        <v>403</v>
      </c>
      <c r="R144" s="17" t="s">
        <v>379</v>
      </c>
      <c r="S144" s="17" t="s">
        <v>82</v>
      </c>
      <c r="T144" s="17" t="s">
        <v>2003</v>
      </c>
      <c r="U144" s="17" t="s">
        <v>2004</v>
      </c>
      <c r="V144" s="17" t="s">
        <v>2005</v>
      </c>
      <c r="W144" s="17" t="s">
        <v>260</v>
      </c>
      <c r="X144" s="17" t="s">
        <v>1984</v>
      </c>
      <c r="Y144" s="17" t="s">
        <v>261</v>
      </c>
      <c r="Z144" s="17" t="s">
        <v>151</v>
      </c>
      <c r="AA144" s="17" t="s">
        <v>162</v>
      </c>
      <c r="AB144" s="17" t="s">
        <v>2006</v>
      </c>
      <c r="AC144" s="19" t="s">
        <v>68</v>
      </c>
      <c r="AD144" s="20" t="s">
        <v>168</v>
      </c>
      <c r="AE144" s="21" t="s">
        <v>174</v>
      </c>
      <c r="AF144" s="23" t="s">
        <v>272</v>
      </c>
    </row>
    <row r="145" ht="43.5" customHeight="1">
      <c r="A145" s="17" t="s">
        <v>2007</v>
      </c>
      <c r="B145" s="17">
        <v>142.0</v>
      </c>
      <c r="C145" s="17" t="s">
        <v>1972</v>
      </c>
      <c r="D145" s="17">
        <v>10.0</v>
      </c>
      <c r="E145" s="17" t="s">
        <v>1973</v>
      </c>
      <c r="F145" s="17" t="s">
        <v>1974</v>
      </c>
      <c r="G145" s="17">
        <v>4.0</v>
      </c>
      <c r="H145" s="17" t="s">
        <v>123</v>
      </c>
      <c r="I145" s="17" t="s">
        <v>2008</v>
      </c>
      <c r="J145" s="17" t="s">
        <v>2009</v>
      </c>
      <c r="K145" s="17" t="s">
        <v>2010</v>
      </c>
      <c r="L145" s="17" t="s">
        <v>2010</v>
      </c>
      <c r="M145" s="17" t="s">
        <v>1996</v>
      </c>
      <c r="N145" s="17"/>
      <c r="O145" s="17" t="s">
        <v>592</v>
      </c>
      <c r="P145" s="17" t="s">
        <v>878</v>
      </c>
      <c r="Q145" s="17" t="s">
        <v>1978</v>
      </c>
      <c r="R145" s="17" t="s">
        <v>1979</v>
      </c>
      <c r="S145" s="17" t="s">
        <v>1980</v>
      </c>
      <c r="T145" s="17" t="s">
        <v>2011</v>
      </c>
      <c r="U145" s="17" t="s">
        <v>2012</v>
      </c>
      <c r="V145" s="17" t="s">
        <v>2013</v>
      </c>
      <c r="W145" s="17" t="s">
        <v>209</v>
      </c>
      <c r="X145" s="17" t="s">
        <v>1984</v>
      </c>
      <c r="Y145" s="17" t="s">
        <v>1985</v>
      </c>
      <c r="Z145" s="17" t="s">
        <v>151</v>
      </c>
      <c r="AA145" s="17" t="s">
        <v>162</v>
      </c>
      <c r="AB145" s="17" t="s">
        <v>163</v>
      </c>
      <c r="AC145" s="19" t="s">
        <v>68</v>
      </c>
      <c r="AD145" s="20" t="s">
        <v>168</v>
      </c>
      <c r="AE145" s="21" t="s">
        <v>174</v>
      </c>
      <c r="AF145" s="22" t="s">
        <v>182</v>
      </c>
    </row>
    <row r="146" ht="43.5" customHeight="1">
      <c r="A146" s="17" t="s">
        <v>2014</v>
      </c>
      <c r="B146" s="17">
        <v>143.0</v>
      </c>
      <c r="C146" s="17" t="s">
        <v>1972</v>
      </c>
      <c r="D146" s="17">
        <v>10.0</v>
      </c>
      <c r="E146" s="17" t="s">
        <v>1973</v>
      </c>
      <c r="F146" s="17" t="s">
        <v>1974</v>
      </c>
      <c r="G146" s="17">
        <v>5.0</v>
      </c>
      <c r="H146" s="17" t="s">
        <v>123</v>
      </c>
      <c r="I146" s="17" t="s">
        <v>2015</v>
      </c>
      <c r="J146" s="17" t="s">
        <v>2016</v>
      </c>
      <c r="K146" s="17" t="s">
        <v>2017</v>
      </c>
      <c r="L146" s="17" t="s">
        <v>2017</v>
      </c>
      <c r="M146" s="17" t="s">
        <v>2010</v>
      </c>
      <c r="N146" s="17"/>
      <c r="O146" s="17" t="s">
        <v>592</v>
      </c>
      <c r="P146" s="17" t="s">
        <v>878</v>
      </c>
      <c r="Q146" s="17" t="s">
        <v>1978</v>
      </c>
      <c r="R146" s="17" t="s">
        <v>1979</v>
      </c>
      <c r="S146" s="17" t="s">
        <v>1980</v>
      </c>
      <c r="T146" s="17" t="s">
        <v>2018</v>
      </c>
      <c r="U146" s="17" t="s">
        <v>2019</v>
      </c>
      <c r="V146" s="17" t="s">
        <v>2020</v>
      </c>
      <c r="W146" s="17" t="s">
        <v>145</v>
      </c>
      <c r="X146" s="17" t="s">
        <v>1984</v>
      </c>
      <c r="Y146" s="17" t="s">
        <v>1985</v>
      </c>
      <c r="Z146" s="17" t="s">
        <v>151</v>
      </c>
      <c r="AA146" s="17" t="s">
        <v>162</v>
      </c>
      <c r="AB146" s="17" t="s">
        <v>163</v>
      </c>
      <c r="AC146" s="19" t="s">
        <v>68</v>
      </c>
      <c r="AD146" s="20" t="s">
        <v>168</v>
      </c>
      <c r="AE146" s="21" t="s">
        <v>174</v>
      </c>
      <c r="AF146" s="22" t="s">
        <v>182</v>
      </c>
    </row>
    <row r="147" ht="43.5" customHeight="1">
      <c r="A147" s="17" t="s">
        <v>2021</v>
      </c>
      <c r="B147" s="17">
        <v>144.0</v>
      </c>
      <c r="C147" s="17" t="s">
        <v>1972</v>
      </c>
      <c r="D147" s="17">
        <v>10.0</v>
      </c>
      <c r="E147" s="17" t="s">
        <v>1973</v>
      </c>
      <c r="F147" s="17" t="s">
        <v>1974</v>
      </c>
      <c r="G147" s="17">
        <v>6.0</v>
      </c>
      <c r="H147" s="17" t="s">
        <v>123</v>
      </c>
      <c r="I147" s="17" t="s">
        <v>2022</v>
      </c>
      <c r="J147" s="17" t="s">
        <v>2023</v>
      </c>
      <c r="K147" s="17" t="s">
        <v>2024</v>
      </c>
      <c r="L147" s="17" t="s">
        <v>2024</v>
      </c>
      <c r="M147" s="17" t="s">
        <v>2017</v>
      </c>
      <c r="N147" s="17"/>
      <c r="O147" s="17" t="s">
        <v>592</v>
      </c>
      <c r="P147" s="17" t="s">
        <v>878</v>
      </c>
      <c r="Q147" s="17" t="s">
        <v>1978</v>
      </c>
      <c r="R147" s="17" t="s">
        <v>1979</v>
      </c>
      <c r="S147" s="17" t="s">
        <v>1980</v>
      </c>
      <c r="T147" s="17" t="s">
        <v>2025</v>
      </c>
      <c r="U147" s="17" t="s">
        <v>2026</v>
      </c>
      <c r="V147" s="17" t="s">
        <v>2027</v>
      </c>
      <c r="W147" s="17" t="s">
        <v>209</v>
      </c>
      <c r="X147" s="17" t="s">
        <v>1984</v>
      </c>
      <c r="Y147" s="17" t="s">
        <v>1985</v>
      </c>
      <c r="Z147" s="17" t="s">
        <v>151</v>
      </c>
      <c r="AA147" s="17" t="s">
        <v>162</v>
      </c>
      <c r="AB147" s="17" t="s">
        <v>163</v>
      </c>
      <c r="AC147" s="19" t="s">
        <v>68</v>
      </c>
      <c r="AD147" s="20" t="s">
        <v>168</v>
      </c>
      <c r="AE147" s="21" t="s">
        <v>174</v>
      </c>
      <c r="AF147" s="24" t="s">
        <v>315</v>
      </c>
    </row>
    <row r="148" ht="43.5" customHeight="1">
      <c r="A148" s="17" t="s">
        <v>2028</v>
      </c>
      <c r="B148" s="17">
        <v>145.0</v>
      </c>
      <c r="C148" s="17" t="s">
        <v>1972</v>
      </c>
      <c r="D148" s="17">
        <v>10.0</v>
      </c>
      <c r="E148" s="17" t="s">
        <v>1973</v>
      </c>
      <c r="F148" s="17" t="s">
        <v>1974</v>
      </c>
      <c r="G148" s="17">
        <v>7.0</v>
      </c>
      <c r="H148" s="17" t="s">
        <v>123</v>
      </c>
      <c r="I148" s="17" t="s">
        <v>2029</v>
      </c>
      <c r="J148" s="17" t="s">
        <v>2030</v>
      </c>
      <c r="K148" s="17" t="s">
        <v>1977</v>
      </c>
      <c r="L148" s="17" t="s">
        <v>1977</v>
      </c>
      <c r="M148" s="17" t="s">
        <v>2024</v>
      </c>
      <c r="N148" s="17"/>
      <c r="O148" s="17" t="s">
        <v>592</v>
      </c>
      <c r="P148" s="17" t="s">
        <v>878</v>
      </c>
      <c r="Q148" s="17" t="s">
        <v>1978</v>
      </c>
      <c r="R148" s="17" t="s">
        <v>1979</v>
      </c>
      <c r="S148" s="17" t="s">
        <v>1980</v>
      </c>
      <c r="T148" s="17" t="s">
        <v>1981</v>
      </c>
      <c r="U148" s="17" t="s">
        <v>2031</v>
      </c>
      <c r="V148" s="17" t="s">
        <v>1983</v>
      </c>
      <c r="W148" s="17" t="s">
        <v>209</v>
      </c>
      <c r="X148" s="17" t="s">
        <v>1984</v>
      </c>
      <c r="Y148" s="17" t="s">
        <v>1985</v>
      </c>
      <c r="Z148" s="17" t="s">
        <v>151</v>
      </c>
      <c r="AA148" s="17" t="s">
        <v>162</v>
      </c>
      <c r="AB148" s="17" t="s">
        <v>163</v>
      </c>
      <c r="AC148" s="19" t="s">
        <v>68</v>
      </c>
      <c r="AD148" s="20" t="s">
        <v>168</v>
      </c>
      <c r="AE148" s="21" t="s">
        <v>174</v>
      </c>
      <c r="AF148" s="24" t="s">
        <v>315</v>
      </c>
    </row>
    <row r="149" ht="43.5" customHeight="1">
      <c r="A149" s="17" t="s">
        <v>2032</v>
      </c>
      <c r="B149" s="17">
        <v>146.0</v>
      </c>
      <c r="C149" s="17" t="s">
        <v>1972</v>
      </c>
      <c r="D149" s="17">
        <v>10.0</v>
      </c>
      <c r="E149" s="17" t="s">
        <v>1973</v>
      </c>
      <c r="F149" s="17" t="s">
        <v>1974</v>
      </c>
      <c r="G149" s="17">
        <v>8.0</v>
      </c>
      <c r="H149" s="17" t="s">
        <v>123</v>
      </c>
      <c r="I149" s="17" t="s">
        <v>2033</v>
      </c>
      <c r="J149" s="17" t="s">
        <v>2034</v>
      </c>
      <c r="K149" s="17" t="s">
        <v>1989</v>
      </c>
      <c r="L149" s="17" t="s">
        <v>1989</v>
      </c>
      <c r="M149" s="17" t="s">
        <v>1977</v>
      </c>
      <c r="N149" s="17"/>
      <c r="O149" s="17" t="s">
        <v>592</v>
      </c>
      <c r="P149" s="17" t="s">
        <v>878</v>
      </c>
      <c r="Q149" s="17" t="s">
        <v>1978</v>
      </c>
      <c r="R149" s="17" t="s">
        <v>1979</v>
      </c>
      <c r="S149" s="17" t="s">
        <v>1980</v>
      </c>
      <c r="T149" s="17" t="s">
        <v>1990</v>
      </c>
      <c r="U149" s="17" t="s">
        <v>2035</v>
      </c>
      <c r="V149" s="17" t="s">
        <v>1992</v>
      </c>
      <c r="W149" s="17" t="s">
        <v>209</v>
      </c>
      <c r="X149" s="17" t="s">
        <v>1984</v>
      </c>
      <c r="Y149" s="17" t="s">
        <v>1985</v>
      </c>
      <c r="Z149" s="17" t="s">
        <v>151</v>
      </c>
      <c r="AA149" s="17" t="s">
        <v>162</v>
      </c>
      <c r="AB149" s="17" t="s">
        <v>163</v>
      </c>
      <c r="AC149" s="19" t="s">
        <v>68</v>
      </c>
      <c r="AD149" s="20" t="s">
        <v>168</v>
      </c>
      <c r="AE149" s="21" t="s">
        <v>174</v>
      </c>
      <c r="AF149" s="24" t="s">
        <v>315</v>
      </c>
    </row>
    <row r="150" ht="43.5" customHeight="1">
      <c r="A150" s="17" t="s">
        <v>2036</v>
      </c>
      <c r="B150" s="17">
        <v>147.0</v>
      </c>
      <c r="C150" s="17" t="s">
        <v>1972</v>
      </c>
      <c r="D150" s="17">
        <v>10.0</v>
      </c>
      <c r="E150" s="17" t="s">
        <v>1973</v>
      </c>
      <c r="F150" s="17" t="s">
        <v>1974</v>
      </c>
      <c r="G150" s="17">
        <v>9.0</v>
      </c>
      <c r="H150" s="17" t="s">
        <v>123</v>
      </c>
      <c r="I150" s="17" t="s">
        <v>2037</v>
      </c>
      <c r="J150" s="17" t="s">
        <v>2038</v>
      </c>
      <c r="K150" s="17" t="s">
        <v>1996</v>
      </c>
      <c r="L150" s="17" t="s">
        <v>1996</v>
      </c>
      <c r="M150" s="17" t="s">
        <v>1989</v>
      </c>
      <c r="N150" s="17"/>
      <c r="O150" s="17" t="s">
        <v>592</v>
      </c>
      <c r="P150" s="17" t="s">
        <v>878</v>
      </c>
      <c r="Q150" s="17" t="s">
        <v>1978</v>
      </c>
      <c r="R150" s="17" t="s">
        <v>1979</v>
      </c>
      <c r="S150" s="17" t="s">
        <v>1980</v>
      </c>
      <c r="T150" s="17" t="s">
        <v>1997</v>
      </c>
      <c r="U150" s="17" t="s">
        <v>2039</v>
      </c>
      <c r="V150" s="17" t="s">
        <v>1999</v>
      </c>
      <c r="W150" s="17" t="s">
        <v>209</v>
      </c>
      <c r="X150" s="17" t="s">
        <v>1984</v>
      </c>
      <c r="Y150" s="17" t="s">
        <v>1985</v>
      </c>
      <c r="Z150" s="17" t="s">
        <v>151</v>
      </c>
      <c r="AA150" s="17" t="s">
        <v>162</v>
      </c>
      <c r="AB150" s="17" t="s">
        <v>163</v>
      </c>
      <c r="AC150" s="19" t="s">
        <v>68</v>
      </c>
      <c r="AD150" s="20" t="s">
        <v>168</v>
      </c>
      <c r="AE150" s="21" t="s">
        <v>174</v>
      </c>
      <c r="AF150" s="24" t="s">
        <v>315</v>
      </c>
    </row>
    <row r="151" ht="43.5" customHeight="1">
      <c r="A151" s="17" t="s">
        <v>2040</v>
      </c>
      <c r="B151" s="17">
        <v>148.0</v>
      </c>
      <c r="C151" s="17" t="s">
        <v>1972</v>
      </c>
      <c r="D151" s="17">
        <v>10.0</v>
      </c>
      <c r="E151" s="17" t="s">
        <v>1973</v>
      </c>
      <c r="F151" s="17" t="s">
        <v>1974</v>
      </c>
      <c r="G151" s="17">
        <v>11.0</v>
      </c>
      <c r="H151" s="17" t="s">
        <v>370</v>
      </c>
      <c r="I151" s="17" t="s">
        <v>2041</v>
      </c>
      <c r="J151" s="17" t="s">
        <v>2042</v>
      </c>
      <c r="K151" s="17" t="s">
        <v>2043</v>
      </c>
      <c r="L151" s="17" t="s">
        <v>1977</v>
      </c>
      <c r="M151" s="17" t="s">
        <v>375</v>
      </c>
      <c r="N151" s="17" t="s">
        <v>376</v>
      </c>
      <c r="O151" s="17" t="s">
        <v>130</v>
      </c>
      <c r="P151" s="17" t="s">
        <v>377</v>
      </c>
      <c r="Q151" s="17" t="s">
        <v>378</v>
      </c>
      <c r="R151" s="17" t="s">
        <v>379</v>
      </c>
      <c r="S151" s="17" t="s">
        <v>1980</v>
      </c>
      <c r="T151" s="17" t="s">
        <v>2044</v>
      </c>
      <c r="U151" s="17" t="s">
        <v>2045</v>
      </c>
      <c r="V151" s="17" t="s">
        <v>2046</v>
      </c>
      <c r="W151" s="17" t="s">
        <v>389</v>
      </c>
      <c r="X151" s="17" t="s">
        <v>1984</v>
      </c>
      <c r="Y151" s="17" t="s">
        <v>391</v>
      </c>
      <c r="Z151" s="17" t="s">
        <v>151</v>
      </c>
      <c r="AA151" s="17" t="s">
        <v>162</v>
      </c>
      <c r="AB151" s="17" t="s">
        <v>395</v>
      </c>
      <c r="AC151" s="19" t="s">
        <v>68</v>
      </c>
      <c r="AD151" s="20" t="s">
        <v>168</v>
      </c>
      <c r="AE151" s="21" t="s">
        <v>174</v>
      </c>
      <c r="AF151" s="22" t="s">
        <v>182</v>
      </c>
    </row>
    <row r="152" ht="43.5" customHeight="1">
      <c r="A152" s="17" t="s">
        <v>2047</v>
      </c>
      <c r="B152" s="17">
        <v>149.0</v>
      </c>
      <c r="C152" s="17" t="s">
        <v>1972</v>
      </c>
      <c r="D152" s="17">
        <v>10.0</v>
      </c>
      <c r="E152" s="17" t="s">
        <v>1973</v>
      </c>
      <c r="F152" s="17" t="s">
        <v>1974</v>
      </c>
      <c r="G152" s="17">
        <v>10.0</v>
      </c>
      <c r="H152" s="17" t="s">
        <v>123</v>
      </c>
      <c r="I152" s="17" t="s">
        <v>2048</v>
      </c>
      <c r="J152" s="17" t="s">
        <v>2049</v>
      </c>
      <c r="K152" s="17" t="s">
        <v>2010</v>
      </c>
      <c r="L152" s="17" t="s">
        <v>2010</v>
      </c>
      <c r="M152" s="17" t="s">
        <v>1996</v>
      </c>
      <c r="N152" s="17"/>
      <c r="O152" s="17" t="s">
        <v>592</v>
      </c>
      <c r="P152" s="17" t="s">
        <v>878</v>
      </c>
      <c r="Q152" s="17" t="s">
        <v>1978</v>
      </c>
      <c r="R152" s="17" t="s">
        <v>1979</v>
      </c>
      <c r="S152" s="17" t="s">
        <v>1980</v>
      </c>
      <c r="T152" s="17" t="s">
        <v>2011</v>
      </c>
      <c r="U152" s="17" t="s">
        <v>2050</v>
      </c>
      <c r="V152" s="17" t="s">
        <v>2013</v>
      </c>
      <c r="W152" s="17" t="s">
        <v>417</v>
      </c>
      <c r="X152" s="17" t="s">
        <v>1984</v>
      </c>
      <c r="Y152" s="17" t="s">
        <v>1985</v>
      </c>
      <c r="Z152" s="17" t="s">
        <v>151</v>
      </c>
      <c r="AA152" s="17" t="s">
        <v>162</v>
      </c>
      <c r="AB152" s="17" t="s">
        <v>163</v>
      </c>
      <c r="AC152" s="19" t="s">
        <v>68</v>
      </c>
      <c r="AD152" s="20" t="s">
        <v>168</v>
      </c>
      <c r="AE152" s="21" t="s">
        <v>174</v>
      </c>
      <c r="AF152" s="24" t="s">
        <v>315</v>
      </c>
    </row>
    <row r="153" ht="43.5" customHeight="1">
      <c r="A153" s="17" t="s">
        <v>2051</v>
      </c>
      <c r="B153" s="17">
        <v>150.0</v>
      </c>
      <c r="C153" s="17" t="s">
        <v>1972</v>
      </c>
      <c r="D153" s="17">
        <v>10.0</v>
      </c>
      <c r="E153" s="17" t="s">
        <v>1973</v>
      </c>
      <c r="F153" s="17" t="s">
        <v>1974</v>
      </c>
      <c r="G153" s="17">
        <v>11.0</v>
      </c>
      <c r="H153" s="17" t="s">
        <v>123</v>
      </c>
      <c r="I153" s="17" t="s">
        <v>2052</v>
      </c>
      <c r="J153" s="17" t="s">
        <v>2053</v>
      </c>
      <c r="K153" s="17" t="s">
        <v>2017</v>
      </c>
      <c r="L153" s="17" t="s">
        <v>2017</v>
      </c>
      <c r="M153" s="17" t="s">
        <v>2010</v>
      </c>
      <c r="N153" s="17"/>
      <c r="O153" s="17" t="s">
        <v>592</v>
      </c>
      <c r="P153" s="17" t="s">
        <v>878</v>
      </c>
      <c r="Q153" s="17" t="s">
        <v>1978</v>
      </c>
      <c r="R153" s="17" t="s">
        <v>1979</v>
      </c>
      <c r="S153" s="17" t="s">
        <v>1980</v>
      </c>
      <c r="T153" s="17" t="s">
        <v>2018</v>
      </c>
      <c r="U153" s="17" t="s">
        <v>2054</v>
      </c>
      <c r="V153" s="17" t="s">
        <v>2020</v>
      </c>
      <c r="W153" s="17" t="s">
        <v>437</v>
      </c>
      <c r="X153" s="17" t="s">
        <v>1984</v>
      </c>
      <c r="Y153" s="17" t="s">
        <v>1985</v>
      </c>
      <c r="Z153" s="17" t="s">
        <v>151</v>
      </c>
      <c r="AA153" s="17" t="s">
        <v>162</v>
      </c>
      <c r="AB153" s="17" t="s">
        <v>163</v>
      </c>
      <c r="AC153" s="19" t="s">
        <v>68</v>
      </c>
      <c r="AD153" s="20" t="s">
        <v>168</v>
      </c>
      <c r="AE153" s="21" t="s">
        <v>174</v>
      </c>
      <c r="AF153" s="22" t="s">
        <v>182</v>
      </c>
    </row>
    <row r="154" ht="43.5" customHeight="1">
      <c r="A154" s="17" t="s">
        <v>2055</v>
      </c>
      <c r="B154" s="17">
        <v>151.0</v>
      </c>
      <c r="C154" s="17" t="s">
        <v>1972</v>
      </c>
      <c r="D154" s="17">
        <v>10.0</v>
      </c>
      <c r="E154" s="17" t="s">
        <v>1973</v>
      </c>
      <c r="F154" s="17" t="s">
        <v>1974</v>
      </c>
      <c r="G154" s="17">
        <v>12.0</v>
      </c>
      <c r="H154" s="17" t="s">
        <v>123</v>
      </c>
      <c r="I154" s="17" t="s">
        <v>2056</v>
      </c>
      <c r="J154" s="17" t="s">
        <v>2057</v>
      </c>
      <c r="K154" s="17" t="s">
        <v>2024</v>
      </c>
      <c r="L154" s="17" t="s">
        <v>2024</v>
      </c>
      <c r="M154" s="17" t="s">
        <v>2017</v>
      </c>
      <c r="N154" s="17"/>
      <c r="O154" s="17" t="s">
        <v>592</v>
      </c>
      <c r="P154" s="17" t="s">
        <v>878</v>
      </c>
      <c r="Q154" s="17" t="s">
        <v>1978</v>
      </c>
      <c r="R154" s="17" t="s">
        <v>1979</v>
      </c>
      <c r="S154" s="17" t="s">
        <v>1980</v>
      </c>
      <c r="T154" s="17" t="s">
        <v>2025</v>
      </c>
      <c r="U154" s="17" t="s">
        <v>2058</v>
      </c>
      <c r="V154" s="17" t="s">
        <v>2027</v>
      </c>
      <c r="W154" s="17" t="s">
        <v>452</v>
      </c>
      <c r="X154" s="17" t="s">
        <v>1984</v>
      </c>
      <c r="Y154" s="17" t="s">
        <v>1985</v>
      </c>
      <c r="Z154" s="17" t="s">
        <v>151</v>
      </c>
      <c r="AA154" s="17" t="s">
        <v>162</v>
      </c>
      <c r="AB154" s="17" t="s">
        <v>163</v>
      </c>
      <c r="AC154" s="19" t="s">
        <v>68</v>
      </c>
      <c r="AD154" s="20" t="s">
        <v>168</v>
      </c>
      <c r="AE154" s="21" t="s">
        <v>174</v>
      </c>
      <c r="AF154" s="22" t="s">
        <v>182</v>
      </c>
    </row>
    <row r="155" ht="43.5" customHeight="1">
      <c r="A155" s="17" t="s">
        <v>2059</v>
      </c>
      <c r="B155" s="17">
        <v>152.0</v>
      </c>
      <c r="C155" s="17" t="s">
        <v>1972</v>
      </c>
      <c r="D155" s="17">
        <v>10.0</v>
      </c>
      <c r="E155" s="17" t="s">
        <v>1973</v>
      </c>
      <c r="F155" s="17" t="s">
        <v>1974</v>
      </c>
      <c r="G155" s="17">
        <v>15.0</v>
      </c>
      <c r="H155" s="17" t="s">
        <v>460</v>
      </c>
      <c r="I155" s="17" t="s">
        <v>2060</v>
      </c>
      <c r="J155" s="17" t="s">
        <v>462</v>
      </c>
      <c r="K155" s="17" t="s">
        <v>463</v>
      </c>
      <c r="L155" s="17" t="s">
        <v>464</v>
      </c>
      <c r="M155" s="17" t="s">
        <v>465</v>
      </c>
      <c r="N155" s="17" t="s">
        <v>466</v>
      </c>
      <c r="O155" s="17" t="s">
        <v>130</v>
      </c>
      <c r="P155" s="17" t="s">
        <v>133</v>
      </c>
      <c r="Q155" s="17" t="s">
        <v>467</v>
      </c>
      <c r="R155" s="17" t="s">
        <v>379</v>
      </c>
      <c r="S155" s="17" t="s">
        <v>82</v>
      </c>
      <c r="T155" s="17" t="s">
        <v>469</v>
      </c>
      <c r="U155" s="17" t="s">
        <v>2058</v>
      </c>
      <c r="V155" s="17" t="s">
        <v>470</v>
      </c>
      <c r="W155" s="17" t="s">
        <v>471</v>
      </c>
      <c r="X155" s="17" t="s">
        <v>1984</v>
      </c>
      <c r="Y155" s="17" t="s">
        <v>472</v>
      </c>
      <c r="Z155" s="17" t="s">
        <v>151</v>
      </c>
      <c r="AA155" s="17" t="s">
        <v>162</v>
      </c>
      <c r="AB155" s="17" t="s">
        <v>473</v>
      </c>
      <c r="AC155" s="26" t="s">
        <v>68</v>
      </c>
      <c r="AD155" s="27" t="s">
        <v>168</v>
      </c>
      <c r="AE155" s="28" t="s">
        <v>174</v>
      </c>
      <c r="AF155" s="24" t="s">
        <v>315</v>
      </c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</sheetData>
  <mergeCells count="2">
    <mergeCell ref="A1:AE1"/>
    <mergeCell ref="A2:AE2"/>
  </mergeCells>
  <conditionalFormatting sqref="H4:H155">
    <cfRule type="expression" dxfId="0" priority="1">
      <formula>H4="Reconnection"</formula>
    </cfRule>
  </conditionalFormatting>
  <conditionalFormatting sqref="H4:H155">
    <cfRule type="expression" dxfId="1" priority="2">
      <formula>H4="Core"</formula>
    </cfRule>
  </conditionalFormatting>
  <conditionalFormatting sqref="H4:H155">
    <cfRule type="expression" dxfId="2" priority="3">
      <formula>H4="Consolidation / Mastery"</formula>
    </cfRule>
  </conditionalFormatting>
  <conditionalFormatting sqref="H4:H155">
    <cfRule type="expression" dxfId="3" priority="4">
      <formula>H4="Extension / Portfolio"</formula>
    </cfRule>
  </conditionalFormatting>
  <conditionalFormatting sqref="H4:H155">
    <cfRule type="expression" dxfId="4" priority="5">
      <formula>H4="Qualification Practice"</formula>
    </cfRule>
  </conditionalFormatting>
  <conditionalFormatting sqref="H4:H155">
    <cfRule type="expression" dxfId="2" priority="6">
      <formula>H4="Portfolio / Pathway Review"</formula>
    </cfRule>
  </conditionalFormatting>
  <dataValidations>
    <dataValidation type="list" allowBlank="1" sqref="AA4:AA155">
      <formula1>"Architecture mapped,Tool designed,HTML built,Guidance built,Reviewed,Locked"</formula1>
    </dataValidation>
    <dataValidation type="list" allowBlank="1" sqref="H4:H155">
      <formula1>"Core,Reconnection,Consolidation / Mastery,Extension / Portfolio,Qualification Practice,Portfolio / Pathway Review"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14.0"/>
    <col customWidth="1" min="3" max="3" width="24.0"/>
    <col customWidth="1" min="4" max="4" width="28.0"/>
    <col customWidth="1" min="5" max="5" width="40.0"/>
    <col customWidth="1" min="6" max="6" width="38.0"/>
    <col customWidth="1" min="7" max="7" width="28.0"/>
    <col customWidth="1" min="8" max="8" width="20.0"/>
    <col customWidth="1" min="9" max="9" width="24.0"/>
    <col customWidth="1" min="10" max="10" width="8.57"/>
    <col customWidth="1" min="11" max="26" width="12.57"/>
  </cols>
  <sheetData>
    <row r="1" ht="25.5" customHeight="1">
      <c r="A1" s="1" t="s">
        <v>2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75" customHeight="1">
      <c r="A2" s="5" t="s">
        <v>4</v>
      </c>
      <c r="B2" s="2"/>
      <c r="C2" s="2"/>
      <c r="D2" s="2"/>
      <c r="E2" s="2"/>
      <c r="F2" s="2"/>
      <c r="G2" s="2"/>
      <c r="H2" s="2"/>
      <c r="I2" s="2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2.0" customHeight="1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  <c r="H3" s="6" t="s">
        <v>13</v>
      </c>
      <c r="I3" s="6" t="s">
        <v>14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2.0" customHeight="1">
      <c r="A4" s="7" t="s">
        <v>16</v>
      </c>
      <c r="B4" s="7" t="s">
        <v>18</v>
      </c>
      <c r="C4" s="7" t="s">
        <v>20</v>
      </c>
      <c r="D4" s="7" t="s">
        <v>22</v>
      </c>
      <c r="E4" s="7" t="s">
        <v>23</v>
      </c>
      <c r="F4" s="7" t="s">
        <v>24</v>
      </c>
      <c r="G4" s="7" t="s">
        <v>27</v>
      </c>
      <c r="H4" s="7" t="s">
        <v>29</v>
      </c>
      <c r="I4" s="7" t="s">
        <v>31</v>
      </c>
      <c r="J4" s="9" t="s">
        <v>34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2.0" customHeight="1">
      <c r="A5" s="11" t="s">
        <v>44</v>
      </c>
      <c r="B5" s="11" t="s">
        <v>38</v>
      </c>
      <c r="C5" s="11" t="s">
        <v>20</v>
      </c>
      <c r="D5" s="11" t="s">
        <v>49</v>
      </c>
      <c r="E5" s="11" t="s">
        <v>51</v>
      </c>
      <c r="F5" s="11" t="s">
        <v>53</v>
      </c>
      <c r="G5" s="11" t="s">
        <v>55</v>
      </c>
      <c r="H5" s="11" t="s">
        <v>29</v>
      </c>
      <c r="I5" s="11" t="s">
        <v>58</v>
      </c>
      <c r="J5" s="12" t="s">
        <v>62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2.0" customHeight="1">
      <c r="A6" s="11" t="s">
        <v>71</v>
      </c>
      <c r="B6" s="11" t="s">
        <v>38</v>
      </c>
      <c r="C6" s="11" t="s">
        <v>20</v>
      </c>
      <c r="D6" s="11" t="s">
        <v>76</v>
      </c>
      <c r="E6" s="11" t="s">
        <v>78</v>
      </c>
      <c r="F6" s="11" t="s">
        <v>80</v>
      </c>
      <c r="G6" s="11" t="s">
        <v>81</v>
      </c>
      <c r="H6" s="11" t="s">
        <v>82</v>
      </c>
      <c r="I6" s="11" t="s">
        <v>31</v>
      </c>
      <c r="J6" s="12" t="s">
        <v>62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2.0" customHeight="1">
      <c r="A7" s="11" t="s">
        <v>84</v>
      </c>
      <c r="B7" s="11" t="s">
        <v>38</v>
      </c>
      <c r="C7" s="11" t="s">
        <v>86</v>
      </c>
      <c r="D7" s="11" t="s">
        <v>88</v>
      </c>
      <c r="E7" s="11" t="s">
        <v>89</v>
      </c>
      <c r="F7" s="11" t="s">
        <v>91</v>
      </c>
      <c r="G7" s="11" t="s">
        <v>93</v>
      </c>
      <c r="H7" s="11" t="s">
        <v>29</v>
      </c>
      <c r="I7" s="11" t="s">
        <v>95</v>
      </c>
      <c r="J7" s="12" t="s">
        <v>62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2.0" customHeight="1">
      <c r="A8" s="11" t="s">
        <v>99</v>
      </c>
      <c r="B8" s="11" t="s">
        <v>38</v>
      </c>
      <c r="C8" s="11" t="s">
        <v>101</v>
      </c>
      <c r="D8" s="11" t="s">
        <v>102</v>
      </c>
      <c r="E8" s="11" t="s">
        <v>103</v>
      </c>
      <c r="F8" s="11" t="s">
        <v>104</v>
      </c>
      <c r="G8" s="11" t="s">
        <v>105</v>
      </c>
      <c r="H8" s="11" t="s">
        <v>106</v>
      </c>
      <c r="I8" s="11" t="s">
        <v>58</v>
      </c>
      <c r="J8" s="12" t="s">
        <v>62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2.0" customHeight="1">
      <c r="A9" s="11" t="s">
        <v>109</v>
      </c>
      <c r="B9" s="11" t="s">
        <v>38</v>
      </c>
      <c r="C9" s="11" t="s">
        <v>101</v>
      </c>
      <c r="D9" s="11" t="s">
        <v>110</v>
      </c>
      <c r="E9" s="11" t="s">
        <v>111</v>
      </c>
      <c r="F9" s="11" t="s">
        <v>113</v>
      </c>
      <c r="G9" s="11" t="s">
        <v>115</v>
      </c>
      <c r="H9" s="11" t="s">
        <v>82</v>
      </c>
      <c r="I9" s="11" t="s">
        <v>58</v>
      </c>
      <c r="J9" s="12" t="s">
        <v>62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2.0" customHeight="1">
      <c r="A10" s="11" t="s">
        <v>118</v>
      </c>
      <c r="B10" s="11" t="s">
        <v>38</v>
      </c>
      <c r="C10" s="11" t="s">
        <v>101</v>
      </c>
      <c r="D10" s="11" t="s">
        <v>119</v>
      </c>
      <c r="E10" s="11" t="s">
        <v>120</v>
      </c>
      <c r="F10" s="11" t="s">
        <v>121</v>
      </c>
      <c r="G10" s="11" t="s">
        <v>122</v>
      </c>
      <c r="H10" s="11" t="s">
        <v>106</v>
      </c>
      <c r="I10" s="11" t="s">
        <v>58</v>
      </c>
      <c r="J10" s="12" t="s">
        <v>62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2.0" customHeight="1">
      <c r="A11" s="11" t="s">
        <v>131</v>
      </c>
      <c r="B11" s="11" t="s">
        <v>38</v>
      </c>
      <c r="C11" s="11" t="s">
        <v>20</v>
      </c>
      <c r="D11" s="11" t="s">
        <v>137</v>
      </c>
      <c r="E11" s="11" t="s">
        <v>138</v>
      </c>
      <c r="F11" s="11" t="s">
        <v>139</v>
      </c>
      <c r="G11" s="11" t="s">
        <v>141</v>
      </c>
      <c r="H11" s="11" t="s">
        <v>106</v>
      </c>
      <c r="I11" s="11" t="s">
        <v>58</v>
      </c>
      <c r="J11" s="12" t="s">
        <v>144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2.0" customHeight="1">
      <c r="A12" s="11" t="s">
        <v>154</v>
      </c>
      <c r="B12" s="11" t="s">
        <v>38</v>
      </c>
      <c r="C12" s="11" t="s">
        <v>86</v>
      </c>
      <c r="D12" s="11" t="s">
        <v>156</v>
      </c>
      <c r="E12" s="11" t="s">
        <v>157</v>
      </c>
      <c r="F12" s="11" t="s">
        <v>159</v>
      </c>
      <c r="G12" s="11" t="s">
        <v>161</v>
      </c>
      <c r="H12" s="11" t="s">
        <v>82</v>
      </c>
      <c r="I12" s="11" t="s">
        <v>58</v>
      </c>
      <c r="J12" s="12" t="s">
        <v>62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2.0" customHeight="1">
      <c r="A13" s="11" t="s">
        <v>169</v>
      </c>
      <c r="B13" s="11" t="s">
        <v>38</v>
      </c>
      <c r="C13" s="11" t="s">
        <v>86</v>
      </c>
      <c r="D13" s="11" t="s">
        <v>170</v>
      </c>
      <c r="E13" s="11" t="s">
        <v>171</v>
      </c>
      <c r="F13" s="11" t="s">
        <v>172</v>
      </c>
      <c r="G13" s="11" t="s">
        <v>173</v>
      </c>
      <c r="H13" s="11" t="s">
        <v>82</v>
      </c>
      <c r="I13" s="11" t="s">
        <v>31</v>
      </c>
      <c r="J13" s="12" t="s">
        <v>144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2.0" customHeight="1">
      <c r="A14" s="11" t="s">
        <v>176</v>
      </c>
      <c r="B14" s="11" t="s">
        <v>38</v>
      </c>
      <c r="C14" s="11" t="s">
        <v>86</v>
      </c>
      <c r="D14" s="11" t="s">
        <v>178</v>
      </c>
      <c r="E14" s="11" t="s">
        <v>179</v>
      </c>
      <c r="F14" s="11" t="s">
        <v>181</v>
      </c>
      <c r="G14" s="11" t="s">
        <v>183</v>
      </c>
      <c r="H14" s="11" t="s">
        <v>82</v>
      </c>
      <c r="I14" s="11" t="s">
        <v>95</v>
      </c>
      <c r="J14" s="12" t="s">
        <v>144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42.0" customHeight="1">
      <c r="A15" s="11" t="s">
        <v>185</v>
      </c>
      <c r="B15" s="11" t="s">
        <v>38</v>
      </c>
      <c r="C15" s="11" t="s">
        <v>86</v>
      </c>
      <c r="D15" s="11" t="s">
        <v>186</v>
      </c>
      <c r="E15" s="11" t="s">
        <v>187</v>
      </c>
      <c r="F15" s="11" t="s">
        <v>188</v>
      </c>
      <c r="G15" s="11" t="s">
        <v>189</v>
      </c>
      <c r="H15" s="11" t="s">
        <v>29</v>
      </c>
      <c r="I15" s="11" t="s">
        <v>31</v>
      </c>
      <c r="J15" s="12" t="s">
        <v>144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42.0" customHeight="1">
      <c r="A16" s="11" t="s">
        <v>197</v>
      </c>
      <c r="B16" s="11" t="s">
        <v>38</v>
      </c>
      <c r="C16" s="11" t="s">
        <v>86</v>
      </c>
      <c r="D16" s="11" t="s">
        <v>198</v>
      </c>
      <c r="E16" s="11" t="s">
        <v>201</v>
      </c>
      <c r="F16" s="11" t="s">
        <v>204</v>
      </c>
      <c r="G16" s="11" t="s">
        <v>207</v>
      </c>
      <c r="H16" s="11" t="s">
        <v>82</v>
      </c>
      <c r="I16" s="11" t="s">
        <v>58</v>
      </c>
      <c r="J16" s="12" t="s">
        <v>144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2.0" customHeight="1">
      <c r="A17" s="11" t="s">
        <v>212</v>
      </c>
      <c r="B17" s="11" t="s">
        <v>38</v>
      </c>
      <c r="C17" s="11" t="s">
        <v>86</v>
      </c>
      <c r="D17" s="11" t="s">
        <v>216</v>
      </c>
      <c r="E17" s="11" t="s">
        <v>217</v>
      </c>
      <c r="F17" s="11" t="s">
        <v>218</v>
      </c>
      <c r="G17" s="11" t="s">
        <v>219</v>
      </c>
      <c r="H17" s="11" t="s">
        <v>82</v>
      </c>
      <c r="I17" s="11" t="s">
        <v>31</v>
      </c>
      <c r="J17" s="12" t="s">
        <v>144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2.0" customHeight="1">
      <c r="A18" s="11" t="s">
        <v>223</v>
      </c>
      <c r="B18" s="11" t="s">
        <v>38</v>
      </c>
      <c r="C18" s="11" t="s">
        <v>225</v>
      </c>
      <c r="D18" s="11" t="s">
        <v>226</v>
      </c>
      <c r="E18" s="11" t="s">
        <v>228</v>
      </c>
      <c r="F18" s="11" t="s">
        <v>230</v>
      </c>
      <c r="G18" s="11" t="s">
        <v>231</v>
      </c>
      <c r="H18" s="11" t="s">
        <v>232</v>
      </c>
      <c r="I18" s="11" t="s">
        <v>95</v>
      </c>
      <c r="J18" s="12" t="s">
        <v>144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42.0" customHeight="1">
      <c r="A19" s="11" t="s">
        <v>234</v>
      </c>
      <c r="B19" s="11" t="s">
        <v>38</v>
      </c>
      <c r="C19" s="11" t="s">
        <v>225</v>
      </c>
      <c r="D19" s="11" t="s">
        <v>235</v>
      </c>
      <c r="E19" s="11" t="s">
        <v>236</v>
      </c>
      <c r="F19" s="11" t="s">
        <v>237</v>
      </c>
      <c r="G19" s="11" t="s">
        <v>239</v>
      </c>
      <c r="H19" s="11" t="s">
        <v>232</v>
      </c>
      <c r="I19" s="11" t="s">
        <v>31</v>
      </c>
      <c r="J19" s="12" t="s">
        <v>144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42.0" customHeight="1">
      <c r="A20" s="11" t="s">
        <v>242</v>
      </c>
      <c r="B20" s="11" t="s">
        <v>38</v>
      </c>
      <c r="C20" s="11" t="s">
        <v>101</v>
      </c>
      <c r="D20" s="11" t="s">
        <v>243</v>
      </c>
      <c r="E20" s="11" t="s">
        <v>244</v>
      </c>
      <c r="F20" s="11" t="s">
        <v>245</v>
      </c>
      <c r="G20" s="11" t="s">
        <v>247</v>
      </c>
      <c r="H20" s="11" t="s">
        <v>248</v>
      </c>
      <c r="I20" s="11" t="s">
        <v>58</v>
      </c>
      <c r="J20" s="12" t="s">
        <v>62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42.0" customHeight="1">
      <c r="A21" s="11" t="s">
        <v>250</v>
      </c>
      <c r="B21" s="11" t="s">
        <v>38</v>
      </c>
      <c r="C21" s="11" t="s">
        <v>101</v>
      </c>
      <c r="D21" s="11" t="s">
        <v>251</v>
      </c>
      <c r="E21" s="11" t="s">
        <v>253</v>
      </c>
      <c r="F21" s="11" t="s">
        <v>254</v>
      </c>
      <c r="G21" s="11" t="s">
        <v>255</v>
      </c>
      <c r="H21" s="11" t="s">
        <v>248</v>
      </c>
      <c r="I21" s="11" t="s">
        <v>95</v>
      </c>
      <c r="J21" s="12" t="s">
        <v>62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42.0" customHeight="1">
      <c r="A22" s="11" t="s">
        <v>262</v>
      </c>
      <c r="B22" s="11" t="s">
        <v>38</v>
      </c>
      <c r="C22" s="11" t="s">
        <v>101</v>
      </c>
      <c r="D22" s="11" t="s">
        <v>263</v>
      </c>
      <c r="E22" s="11" t="s">
        <v>265</v>
      </c>
      <c r="F22" s="11" t="s">
        <v>266</v>
      </c>
      <c r="G22" s="11" t="s">
        <v>267</v>
      </c>
      <c r="H22" s="11" t="s">
        <v>106</v>
      </c>
      <c r="I22" s="11" t="s">
        <v>95</v>
      </c>
      <c r="J22" s="12" t="s">
        <v>62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42.0" customHeight="1">
      <c r="A23" s="11" t="s">
        <v>268</v>
      </c>
      <c r="B23" s="11" t="s">
        <v>38</v>
      </c>
      <c r="C23" s="11" t="s">
        <v>101</v>
      </c>
      <c r="D23" s="11" t="s">
        <v>269</v>
      </c>
      <c r="E23" s="11" t="s">
        <v>270</v>
      </c>
      <c r="F23" s="11" t="s">
        <v>271</v>
      </c>
      <c r="G23" s="11" t="s">
        <v>273</v>
      </c>
      <c r="H23" s="11" t="s">
        <v>248</v>
      </c>
      <c r="I23" s="11" t="s">
        <v>31</v>
      </c>
      <c r="J23" s="12" t="s">
        <v>144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42.0" customHeight="1">
      <c r="A24" s="11" t="s">
        <v>275</v>
      </c>
      <c r="B24" s="11" t="s">
        <v>38</v>
      </c>
      <c r="C24" s="11" t="s">
        <v>276</v>
      </c>
      <c r="D24" s="11" t="s">
        <v>277</v>
      </c>
      <c r="E24" s="11" t="s">
        <v>278</v>
      </c>
      <c r="F24" s="11" t="s">
        <v>279</v>
      </c>
      <c r="G24" s="11" t="s">
        <v>280</v>
      </c>
      <c r="H24" s="11" t="s">
        <v>29</v>
      </c>
      <c r="I24" s="11" t="s">
        <v>31</v>
      </c>
      <c r="J24" s="12" t="s">
        <v>62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42.0" customHeight="1">
      <c r="A25" s="11" t="s">
        <v>281</v>
      </c>
      <c r="B25" s="11" t="s">
        <v>38</v>
      </c>
      <c r="C25" s="11" t="s">
        <v>276</v>
      </c>
      <c r="D25" s="11" t="s">
        <v>284</v>
      </c>
      <c r="E25" s="11" t="s">
        <v>286</v>
      </c>
      <c r="F25" s="11" t="s">
        <v>287</v>
      </c>
      <c r="G25" s="11" t="s">
        <v>288</v>
      </c>
      <c r="H25" s="11" t="s">
        <v>29</v>
      </c>
      <c r="I25" s="11" t="s">
        <v>95</v>
      </c>
      <c r="J25" s="12" t="s">
        <v>62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42.0" customHeight="1">
      <c r="A26" s="11" t="s">
        <v>291</v>
      </c>
      <c r="B26" s="11" t="s">
        <v>38</v>
      </c>
      <c r="C26" s="11" t="s">
        <v>276</v>
      </c>
      <c r="D26" s="11" t="s">
        <v>292</v>
      </c>
      <c r="E26" s="11" t="s">
        <v>293</v>
      </c>
      <c r="F26" s="11" t="s">
        <v>294</v>
      </c>
      <c r="G26" s="11" t="s">
        <v>296</v>
      </c>
      <c r="H26" s="11" t="s">
        <v>29</v>
      </c>
      <c r="I26" s="11" t="s">
        <v>95</v>
      </c>
      <c r="J26" s="12" t="s">
        <v>144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42.0" customHeight="1">
      <c r="A27" s="11" t="s">
        <v>313</v>
      </c>
      <c r="B27" s="11" t="s">
        <v>38</v>
      </c>
      <c r="C27" s="11" t="s">
        <v>276</v>
      </c>
      <c r="D27" s="11" t="s">
        <v>316</v>
      </c>
      <c r="E27" s="11" t="s">
        <v>317</v>
      </c>
      <c r="F27" s="11" t="s">
        <v>318</v>
      </c>
      <c r="G27" s="11" t="s">
        <v>319</v>
      </c>
      <c r="H27" s="11" t="s">
        <v>29</v>
      </c>
      <c r="I27" s="11" t="s">
        <v>58</v>
      </c>
      <c r="J27" s="12" t="s">
        <v>144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42.0" customHeight="1">
      <c r="A28" s="11" t="s">
        <v>328</v>
      </c>
      <c r="B28" s="11" t="s">
        <v>38</v>
      </c>
      <c r="C28" s="11" t="s">
        <v>276</v>
      </c>
      <c r="D28" s="11" t="s">
        <v>334</v>
      </c>
      <c r="E28" s="11" t="s">
        <v>335</v>
      </c>
      <c r="F28" s="11" t="s">
        <v>336</v>
      </c>
      <c r="G28" s="11" t="s">
        <v>338</v>
      </c>
      <c r="H28" s="11" t="s">
        <v>29</v>
      </c>
      <c r="I28" s="11" t="s">
        <v>95</v>
      </c>
      <c r="J28" s="12" t="s">
        <v>144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42.0" customHeight="1">
      <c r="A29" s="11" t="s">
        <v>343</v>
      </c>
      <c r="B29" s="11" t="s">
        <v>38</v>
      </c>
      <c r="C29" s="11" t="s">
        <v>344</v>
      </c>
      <c r="D29" s="11" t="s">
        <v>345</v>
      </c>
      <c r="E29" s="11" t="s">
        <v>346</v>
      </c>
      <c r="F29" s="11" t="s">
        <v>347</v>
      </c>
      <c r="G29" s="11" t="s">
        <v>348</v>
      </c>
      <c r="H29" s="11" t="s">
        <v>82</v>
      </c>
      <c r="I29" s="11" t="s">
        <v>95</v>
      </c>
      <c r="J29" s="12" t="s">
        <v>62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42.0" customHeight="1">
      <c r="A30" s="11" t="s">
        <v>351</v>
      </c>
      <c r="B30" s="11" t="s">
        <v>38</v>
      </c>
      <c r="C30" s="11" t="s">
        <v>344</v>
      </c>
      <c r="D30" s="11" t="s">
        <v>353</v>
      </c>
      <c r="E30" s="11" t="s">
        <v>355</v>
      </c>
      <c r="F30" s="11" t="s">
        <v>356</v>
      </c>
      <c r="G30" s="11" t="s">
        <v>357</v>
      </c>
      <c r="H30" s="11" t="s">
        <v>82</v>
      </c>
      <c r="I30" s="11" t="s">
        <v>31</v>
      </c>
      <c r="J30" s="12" t="s">
        <v>144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42.0" customHeight="1">
      <c r="A31" s="11" t="s">
        <v>363</v>
      </c>
      <c r="B31" s="11" t="s">
        <v>38</v>
      </c>
      <c r="C31" s="11" t="s">
        <v>344</v>
      </c>
      <c r="D31" s="11" t="s">
        <v>364</v>
      </c>
      <c r="E31" s="11" t="s">
        <v>365</v>
      </c>
      <c r="F31" s="11" t="s">
        <v>366</v>
      </c>
      <c r="G31" s="11" t="s">
        <v>367</v>
      </c>
      <c r="H31" s="11" t="s">
        <v>82</v>
      </c>
      <c r="I31" s="11" t="s">
        <v>95</v>
      </c>
      <c r="J31" s="12" t="s">
        <v>62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42.0" customHeight="1">
      <c r="A32" s="11" t="s">
        <v>381</v>
      </c>
      <c r="B32" s="11" t="s">
        <v>38</v>
      </c>
      <c r="C32" s="11" t="s">
        <v>344</v>
      </c>
      <c r="D32" s="11" t="s">
        <v>385</v>
      </c>
      <c r="E32" s="11" t="s">
        <v>387</v>
      </c>
      <c r="F32" s="11" t="s">
        <v>388</v>
      </c>
      <c r="G32" s="11" t="s">
        <v>390</v>
      </c>
      <c r="H32" s="11" t="s">
        <v>82</v>
      </c>
      <c r="I32" s="11" t="s">
        <v>95</v>
      </c>
      <c r="J32" s="12" t="s">
        <v>144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42.0" customHeight="1">
      <c r="A33" s="11" t="s">
        <v>398</v>
      </c>
      <c r="B33" s="11" t="s">
        <v>38</v>
      </c>
      <c r="C33" s="11" t="s">
        <v>399</v>
      </c>
      <c r="D33" s="11" t="s">
        <v>400</v>
      </c>
      <c r="E33" s="11" t="s">
        <v>401</v>
      </c>
      <c r="F33" s="11" t="s">
        <v>402</v>
      </c>
      <c r="G33" s="11" t="s">
        <v>403</v>
      </c>
      <c r="H33" s="11" t="s">
        <v>82</v>
      </c>
      <c r="I33" s="11" t="s">
        <v>404</v>
      </c>
      <c r="J33" s="12" t="s">
        <v>315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42.0" customHeight="1">
      <c r="A34" s="11" t="s">
        <v>409</v>
      </c>
      <c r="B34" s="11" t="s">
        <v>38</v>
      </c>
      <c r="C34" s="11" t="s">
        <v>399</v>
      </c>
      <c r="D34" s="11" t="s">
        <v>412</v>
      </c>
      <c r="E34" s="11" t="s">
        <v>413</v>
      </c>
      <c r="F34" s="11" t="s">
        <v>414</v>
      </c>
      <c r="G34" s="11" t="s">
        <v>416</v>
      </c>
      <c r="H34" s="11" t="s">
        <v>232</v>
      </c>
      <c r="I34" s="11" t="s">
        <v>58</v>
      </c>
      <c r="J34" s="12" t="s">
        <v>315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42.0" customHeight="1">
      <c r="A35" s="11" t="s">
        <v>423</v>
      </c>
      <c r="B35" s="11" t="s">
        <v>38</v>
      </c>
      <c r="C35" s="11" t="s">
        <v>399</v>
      </c>
      <c r="D35" s="11" t="s">
        <v>424</v>
      </c>
      <c r="E35" s="11" t="s">
        <v>427</v>
      </c>
      <c r="F35" s="11" t="s">
        <v>429</v>
      </c>
      <c r="G35" s="11" t="s">
        <v>431</v>
      </c>
      <c r="H35" s="11" t="s">
        <v>82</v>
      </c>
      <c r="I35" s="11" t="s">
        <v>95</v>
      </c>
      <c r="J35" s="25" t="s">
        <v>315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J1"/>
    <mergeCell ref="A2:J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20.0"/>
    <col customWidth="1" min="3" max="3" width="34.0"/>
    <col customWidth="1" min="4" max="4" width="18.0"/>
    <col customWidth="1" min="5" max="5" width="40.0"/>
    <col customWidth="1" min="6" max="8" width="18.0"/>
    <col customWidth="1" min="9" max="26" width="12.57"/>
  </cols>
  <sheetData>
    <row r="1" ht="25.5" customHeight="1">
      <c r="A1" s="1" t="s">
        <v>2061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75" customHeight="1">
      <c r="A2" s="5" t="s">
        <v>2062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3.25" customHeight="1">
      <c r="A4" s="8" t="s">
        <v>15</v>
      </c>
      <c r="B4" s="8" t="s">
        <v>2063</v>
      </c>
      <c r="C4" s="8" t="s">
        <v>190</v>
      </c>
      <c r="D4" s="8" t="s">
        <v>564</v>
      </c>
      <c r="E4" s="8" t="s">
        <v>586</v>
      </c>
      <c r="F4" s="8" t="s">
        <v>370</v>
      </c>
      <c r="G4" s="8" t="s">
        <v>460</v>
      </c>
      <c r="H4" s="8" t="s">
        <v>2064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10" t="s">
        <v>38</v>
      </c>
      <c r="B5" s="10">
        <v>110.0</v>
      </c>
      <c r="C5" s="10">
        <v>24.0</v>
      </c>
      <c r="D5" s="10">
        <v>10.0</v>
      </c>
      <c r="E5" s="10">
        <v>8.0</v>
      </c>
      <c r="F5" s="10">
        <v>0.0</v>
      </c>
      <c r="G5" s="10">
        <v>0.0</v>
      </c>
      <c r="H5" s="10">
        <f t="shared" ref="H5:H6" si="1">SUM(B5:G5)</f>
        <v>152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10" t="s">
        <v>68</v>
      </c>
      <c r="B6" s="10">
        <v>120.0</v>
      </c>
      <c r="C6" s="10">
        <v>10.0</v>
      </c>
      <c r="D6" s="10">
        <v>0.0</v>
      </c>
      <c r="E6" s="10">
        <v>0.0</v>
      </c>
      <c r="F6" s="10">
        <v>12.0</v>
      </c>
      <c r="G6" s="10">
        <v>10.0</v>
      </c>
      <c r="H6" s="10">
        <f t="shared" si="1"/>
        <v>152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3.25" customHeight="1">
      <c r="A8" s="7" t="s">
        <v>2065</v>
      </c>
      <c r="B8" s="7" t="s">
        <v>2066</v>
      </c>
      <c r="C8" s="7" t="s">
        <v>2067</v>
      </c>
      <c r="D8" s="7" t="s">
        <v>2068</v>
      </c>
      <c r="E8" s="4"/>
      <c r="F8" s="7" t="s">
        <v>15</v>
      </c>
      <c r="G8" s="7" t="s">
        <v>19</v>
      </c>
      <c r="H8" s="7" t="s">
        <v>2069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10" t="s">
        <v>2070</v>
      </c>
      <c r="B9" s="10">
        <v>3.0</v>
      </c>
      <c r="C9" s="10">
        <v>38.0</v>
      </c>
      <c r="D9" s="10">
        <f>B9*C9</f>
        <v>114</v>
      </c>
      <c r="E9" s="4"/>
      <c r="F9" s="10" t="s">
        <v>38</v>
      </c>
      <c r="G9" s="10">
        <v>152.0</v>
      </c>
      <c r="H9" s="10">
        <f t="shared" ref="H9:H10" si="2">G9-$D$9</f>
        <v>38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4"/>
      <c r="B10" s="4"/>
      <c r="C10" s="4"/>
      <c r="D10" s="4"/>
      <c r="E10" s="4"/>
      <c r="F10" s="10" t="s">
        <v>68</v>
      </c>
      <c r="G10" s="10">
        <v>152.0</v>
      </c>
      <c r="H10" s="10">
        <f t="shared" si="2"/>
        <v>38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8" t="s">
        <v>2071</v>
      </c>
      <c r="B13" s="18" t="s">
        <v>36</v>
      </c>
      <c r="C13" s="18" t="s">
        <v>39</v>
      </c>
      <c r="D13" s="18" t="s">
        <v>2072</v>
      </c>
      <c r="E13" s="18" t="s">
        <v>2073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11" t="s">
        <v>38</v>
      </c>
      <c r="B14" s="11" t="s">
        <v>312</v>
      </c>
      <c r="C14" s="11" t="s">
        <v>314</v>
      </c>
      <c r="D14" s="11">
        <f>COUNTIF('Foundations Opportunity Bank'!$C$4:$C$155,B14)</f>
        <v>17</v>
      </c>
      <c r="E14" s="11" t="s">
        <v>2074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11" t="s">
        <v>38</v>
      </c>
      <c r="B15" s="11" t="s">
        <v>601</v>
      </c>
      <c r="C15" s="11" t="s">
        <v>602</v>
      </c>
      <c r="D15" s="11">
        <f>COUNTIF('Foundations Opportunity Bank'!$C$4:$C$155,B15)</f>
        <v>14</v>
      </c>
      <c r="E15" s="11" t="s">
        <v>2074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3.25" customHeight="1">
      <c r="A16" s="11" t="s">
        <v>38</v>
      </c>
      <c r="B16" s="11" t="s">
        <v>742</v>
      </c>
      <c r="C16" s="11" t="s">
        <v>743</v>
      </c>
      <c r="D16" s="11">
        <f>COUNTIF('Foundations Opportunity Bank'!$C$4:$C$155,B16)</f>
        <v>16</v>
      </c>
      <c r="E16" s="11" t="s">
        <v>2074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11" t="s">
        <v>38</v>
      </c>
      <c r="B17" s="11" t="s">
        <v>898</v>
      </c>
      <c r="C17" s="11" t="s">
        <v>899</v>
      </c>
      <c r="D17" s="11">
        <f>COUNTIF('Foundations Opportunity Bank'!$C$4:$C$155,B17)</f>
        <v>15</v>
      </c>
      <c r="E17" s="11" t="s">
        <v>2074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3.25" customHeight="1">
      <c r="A18" s="11" t="s">
        <v>38</v>
      </c>
      <c r="B18" s="11" t="s">
        <v>1049</v>
      </c>
      <c r="C18" s="11" t="s">
        <v>1050</v>
      </c>
      <c r="D18" s="11">
        <f>COUNTIF('Foundations Opportunity Bank'!$C$4:$C$155,B18)</f>
        <v>15</v>
      </c>
      <c r="E18" s="11" t="s">
        <v>2074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3.25" customHeight="1">
      <c r="A19" s="11" t="s">
        <v>38</v>
      </c>
      <c r="B19" s="11" t="s">
        <v>1206</v>
      </c>
      <c r="C19" s="11" t="s">
        <v>1207</v>
      </c>
      <c r="D19" s="11">
        <f>COUNTIF('Foundations Opportunity Bank'!$C$4:$C$155,B19)</f>
        <v>15</v>
      </c>
      <c r="E19" s="11" t="s">
        <v>2074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1" t="s">
        <v>38</v>
      </c>
      <c r="B20" s="11" t="s">
        <v>1366</v>
      </c>
      <c r="C20" s="11" t="s">
        <v>1367</v>
      </c>
      <c r="D20" s="11">
        <f>COUNTIF('Foundations Opportunity Bank'!$C$4:$C$155,B20)</f>
        <v>15</v>
      </c>
      <c r="E20" s="11" t="s">
        <v>2074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1" t="s">
        <v>38</v>
      </c>
      <c r="B21" s="11" t="s">
        <v>1505</v>
      </c>
      <c r="C21" s="11" t="s">
        <v>1506</v>
      </c>
      <c r="D21" s="11">
        <f>COUNTIF('Foundations Opportunity Bank'!$C$4:$C$155,B21)</f>
        <v>16</v>
      </c>
      <c r="E21" s="11" t="s">
        <v>2074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1" t="s">
        <v>38</v>
      </c>
      <c r="B22" s="11" t="s">
        <v>1669</v>
      </c>
      <c r="C22" s="11" t="s">
        <v>1671</v>
      </c>
      <c r="D22" s="11">
        <f>COUNTIF('Foundations Opportunity Bank'!$C$4:$C$155,B22)</f>
        <v>15</v>
      </c>
      <c r="E22" s="11" t="s">
        <v>2074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1" t="s">
        <v>38</v>
      </c>
      <c r="B23" s="11" t="s">
        <v>1817</v>
      </c>
      <c r="C23" s="11" t="s">
        <v>1818</v>
      </c>
      <c r="D23" s="11">
        <f>COUNTIF('Foundations Opportunity Bank'!$C$4:$C$155,B23)</f>
        <v>14</v>
      </c>
      <c r="E23" s="11" t="s">
        <v>2074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1" t="s">
        <v>68</v>
      </c>
      <c r="B24" s="11" t="s">
        <v>107</v>
      </c>
      <c r="C24" s="11" t="s">
        <v>108</v>
      </c>
      <c r="D24" s="11">
        <f>COUNTIF('Intermediate Opportunity Bank'!$C$4:$C$155,B24)</f>
        <v>15</v>
      </c>
      <c r="E24" s="11" t="s">
        <v>2074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1" t="s">
        <v>68</v>
      </c>
      <c r="B25" s="11" t="s">
        <v>476</v>
      </c>
      <c r="C25" s="11" t="s">
        <v>477</v>
      </c>
      <c r="D25" s="11">
        <f>COUNTIF('Intermediate Opportunity Bank'!$C$4:$C$155,B25)</f>
        <v>15</v>
      </c>
      <c r="E25" s="11" t="s">
        <v>2074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1" t="s">
        <v>68</v>
      </c>
      <c r="B26" s="11" t="s">
        <v>690</v>
      </c>
      <c r="C26" s="11" t="s">
        <v>692</v>
      </c>
      <c r="D26" s="11">
        <f>COUNTIF('Intermediate Opportunity Bank'!$C$4:$C$155,B26)</f>
        <v>15</v>
      </c>
      <c r="E26" s="11" t="s">
        <v>2074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1" t="s">
        <v>68</v>
      </c>
      <c r="B27" s="11" t="s">
        <v>871</v>
      </c>
      <c r="C27" s="11" t="s">
        <v>872</v>
      </c>
      <c r="D27" s="11">
        <f>COUNTIF('Intermediate Opportunity Bank'!$C$4:$C$155,B27)</f>
        <v>15</v>
      </c>
      <c r="E27" s="11" t="s">
        <v>2074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1" t="s">
        <v>68</v>
      </c>
      <c r="B28" s="11" t="s">
        <v>1062</v>
      </c>
      <c r="C28" s="11" t="s">
        <v>1063</v>
      </c>
      <c r="D28" s="11">
        <f>COUNTIF('Intermediate Opportunity Bank'!$C$4:$C$155,B28)</f>
        <v>16</v>
      </c>
      <c r="E28" s="11" t="s">
        <v>2074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1" t="s">
        <v>68</v>
      </c>
      <c r="B29" s="11" t="s">
        <v>1248</v>
      </c>
      <c r="C29" s="11" t="s">
        <v>1249</v>
      </c>
      <c r="D29" s="11">
        <f>COUNTIF('Intermediate Opportunity Bank'!$C$4:$C$155,B29)</f>
        <v>15</v>
      </c>
      <c r="E29" s="11" t="s">
        <v>2074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1" t="s">
        <v>68</v>
      </c>
      <c r="B30" s="11" t="s">
        <v>1430</v>
      </c>
      <c r="C30" s="11" t="s">
        <v>1431</v>
      </c>
      <c r="D30" s="11">
        <f>COUNTIF('Intermediate Opportunity Bank'!$C$4:$C$155,B30)</f>
        <v>15</v>
      </c>
      <c r="E30" s="11" t="s">
        <v>2074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1" t="s">
        <v>68</v>
      </c>
      <c r="B31" s="11" t="s">
        <v>1611</v>
      </c>
      <c r="C31" s="11" t="s">
        <v>1612</v>
      </c>
      <c r="D31" s="11">
        <f>COUNTIF('Intermediate Opportunity Bank'!$C$4:$C$155,B31)</f>
        <v>15</v>
      </c>
      <c r="E31" s="11" t="s">
        <v>2074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1" t="s">
        <v>68</v>
      </c>
      <c r="B32" s="11" t="s">
        <v>1791</v>
      </c>
      <c r="C32" s="11" t="s">
        <v>1792</v>
      </c>
      <c r="D32" s="11">
        <f>COUNTIF('Intermediate Opportunity Bank'!$C$4:$C$155,B32)</f>
        <v>16</v>
      </c>
      <c r="E32" s="11" t="s">
        <v>2074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1" t="s">
        <v>68</v>
      </c>
      <c r="B33" s="11" t="s">
        <v>1972</v>
      </c>
      <c r="C33" s="11" t="s">
        <v>1973</v>
      </c>
      <c r="D33" s="11">
        <f>COUNTIF('Intermediate Opportunity Bank'!$C$4:$C$155,B33)</f>
        <v>15</v>
      </c>
      <c r="E33" s="11" t="s">
        <v>2074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6" t="s">
        <v>2075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6" t="s">
        <v>15</v>
      </c>
      <c r="B36" s="16" t="s">
        <v>182</v>
      </c>
      <c r="C36" s="16" t="s">
        <v>315</v>
      </c>
      <c r="D36" s="16" t="s">
        <v>272</v>
      </c>
      <c r="E36" s="16" t="s">
        <v>2076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 t="s">
        <v>38</v>
      </c>
      <c r="B37" s="4">
        <f>COUNTIF('Foundations Opportunity Bank'!$AF$4:$AF$200,"Essential")</f>
        <v>71</v>
      </c>
      <c r="C37" s="4">
        <f>COUNTIF('Foundations Opportunity Bank'!$AF$4:$AF$200,"Flexible")</f>
        <v>50</v>
      </c>
      <c r="D37" s="4">
        <f>COUNTIF('Foundations Opportunity Bank'!$AF$4:$AF$200,"Reserve")</f>
        <v>32</v>
      </c>
      <c r="E37" s="4">
        <f t="shared" ref="E37:E38" si="3">114-B37</f>
        <v>43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 t="s">
        <v>68</v>
      </c>
      <c r="B38" s="4">
        <f>COUNTIF('Intermediate Opportunity Bank'!$AF$4:$AF$200,"Essential")</f>
        <v>82</v>
      </c>
      <c r="C38" s="4">
        <f>COUNTIF('Intermediate Opportunity Bank'!$AF$4:$AF$200,"Flexible")</f>
        <v>60</v>
      </c>
      <c r="D38" s="4">
        <f>COUNTIF('Intermediate Opportunity Bank'!$AF$4:$AF$200,"Reserve")</f>
        <v>10</v>
      </c>
      <c r="E38" s="4">
        <f t="shared" si="3"/>
        <v>32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 t="s">
        <v>2077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4" width="14.0"/>
    <col customWidth="1" min="5" max="5" width="50.0"/>
    <col customWidth="1" min="6" max="6" width="55.0"/>
    <col customWidth="1" min="7" max="26" width="12.57"/>
  </cols>
  <sheetData>
    <row r="1" ht="25.5" customHeight="1">
      <c r="A1" s="1" t="s">
        <v>2078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75" customHeight="1">
      <c r="A2" s="5" t="s">
        <v>2079</v>
      </c>
      <c r="B2" s="2"/>
      <c r="C2" s="2"/>
      <c r="D2" s="2"/>
      <c r="E2" s="2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3.25" customHeight="1">
      <c r="A3" s="29" t="s">
        <v>61</v>
      </c>
      <c r="B3" s="29" t="s">
        <v>2080</v>
      </c>
      <c r="C3" s="29" t="s">
        <v>2081</v>
      </c>
      <c r="D3" s="29" t="s">
        <v>2082</v>
      </c>
      <c r="E3" s="29" t="s">
        <v>2083</v>
      </c>
      <c r="F3" s="29" t="s">
        <v>2084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3.25" customHeight="1">
      <c r="A4" s="11" t="s">
        <v>699</v>
      </c>
      <c r="B4" s="11">
        <f>COUNTIF('Foundations Opportunity Bank'!$R$4:$R$155,A4)</f>
        <v>2</v>
      </c>
      <c r="C4" s="11">
        <f>COUNTIF('Intermediate Opportunity Bank'!$R$4:$R$155,A4)</f>
        <v>13</v>
      </c>
      <c r="D4" s="11">
        <f t="shared" ref="D4:D11" si="1">B4+C4</f>
        <v>15</v>
      </c>
      <c r="E4" s="11" t="s">
        <v>2085</v>
      </c>
      <c r="F4" s="11" t="s">
        <v>2086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4.5" customHeight="1">
      <c r="A5" s="11" t="s">
        <v>1440</v>
      </c>
      <c r="B5" s="11">
        <f>COUNTIF('Foundations Opportunity Bank'!$R$4:$R$155,A5)</f>
        <v>27</v>
      </c>
      <c r="C5" s="11">
        <f>COUNTIF('Intermediate Opportunity Bank'!$R$4:$R$155,A5)</f>
        <v>13</v>
      </c>
      <c r="D5" s="11">
        <f t="shared" si="1"/>
        <v>40</v>
      </c>
      <c r="E5" s="11" t="s">
        <v>2087</v>
      </c>
      <c r="F5" s="11" t="s">
        <v>2088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4.5" customHeight="1">
      <c r="A6" s="11" t="s">
        <v>610</v>
      </c>
      <c r="B6" s="11">
        <f>COUNTIF('Foundations Opportunity Bank'!$R$4:$R$155,A6)</f>
        <v>40</v>
      </c>
      <c r="C6" s="11">
        <f>COUNTIF('Intermediate Opportunity Bank'!$R$4:$R$155,A6)</f>
        <v>13</v>
      </c>
      <c r="D6" s="11">
        <f t="shared" si="1"/>
        <v>53</v>
      </c>
      <c r="E6" s="11" t="s">
        <v>2089</v>
      </c>
      <c r="F6" s="11" t="s">
        <v>2090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4.5" customHeight="1">
      <c r="A7" s="11" t="s">
        <v>379</v>
      </c>
      <c r="B7" s="11">
        <f>COUNTIF('Foundations Opportunity Bank'!$R$4:$R$155,A7)</f>
        <v>11</v>
      </c>
      <c r="C7" s="11">
        <f>COUNTIF('Intermediate Opportunity Bank'!$R$4:$R$155,A7)</f>
        <v>23</v>
      </c>
      <c r="D7" s="11">
        <f t="shared" si="1"/>
        <v>34</v>
      </c>
      <c r="E7" s="11" t="s">
        <v>2091</v>
      </c>
      <c r="F7" s="11" t="s">
        <v>2092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4.5" customHeight="1">
      <c r="A8" s="11" t="s">
        <v>136</v>
      </c>
      <c r="B8" s="11">
        <f>COUNTIF('Foundations Opportunity Bank'!$R$4:$R$155,A8)</f>
        <v>15</v>
      </c>
      <c r="C8" s="11">
        <f>COUNTIF('Intermediate Opportunity Bank'!$R$4:$R$155,A8)</f>
        <v>26</v>
      </c>
      <c r="D8" s="11">
        <f t="shared" si="1"/>
        <v>41</v>
      </c>
      <c r="E8" s="11" t="s">
        <v>2093</v>
      </c>
      <c r="F8" s="11" t="s">
        <v>2094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3.25" customHeight="1">
      <c r="A9" s="11" t="s">
        <v>1979</v>
      </c>
      <c r="B9" s="11">
        <f>COUNTIF('Foundations Opportunity Bank'!$R$4:$R$155,A9)</f>
        <v>0</v>
      </c>
      <c r="C9" s="11">
        <f>COUNTIF('Intermediate Opportunity Bank'!$R$4:$R$155,A9)</f>
        <v>12</v>
      </c>
      <c r="D9" s="11">
        <f t="shared" si="1"/>
        <v>12</v>
      </c>
      <c r="E9" s="11" t="s">
        <v>1978</v>
      </c>
      <c r="F9" s="11" t="s">
        <v>2095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3.25" customHeight="1">
      <c r="A10" s="11" t="s">
        <v>880</v>
      </c>
      <c r="B10" s="11">
        <f>COUNTIF('Foundations Opportunity Bank'!$R$4:$R$155,A10)</f>
        <v>15</v>
      </c>
      <c r="C10" s="11">
        <f>COUNTIF('Intermediate Opportunity Bank'!$R$4:$R$155,A10)</f>
        <v>13</v>
      </c>
      <c r="D10" s="11">
        <f t="shared" si="1"/>
        <v>28</v>
      </c>
      <c r="E10" s="11" t="s">
        <v>2096</v>
      </c>
      <c r="F10" s="11" t="s">
        <v>2097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4.5" customHeight="1">
      <c r="A11" s="11" t="s">
        <v>484</v>
      </c>
      <c r="B11" s="11">
        <f>COUNTIF('Foundations Opportunity Bank'!$R$4:$R$155,A11)</f>
        <v>42</v>
      </c>
      <c r="C11" s="11">
        <f>COUNTIF('Intermediate Opportunity Bank'!$R$4:$R$155,A11)</f>
        <v>39</v>
      </c>
      <c r="D11" s="11">
        <f t="shared" si="1"/>
        <v>81</v>
      </c>
      <c r="E11" s="11" t="s">
        <v>2098</v>
      </c>
      <c r="F11" s="11" t="s">
        <v>2099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20.0"/>
    <col customWidth="1" min="3" max="3" width="50.0"/>
    <col customWidth="1" min="4" max="4" width="65.0"/>
    <col customWidth="1" min="5" max="5" width="28.0"/>
    <col customWidth="1" min="6" max="6" width="40.0"/>
    <col customWidth="1" min="7" max="26" width="12.57"/>
  </cols>
  <sheetData>
    <row r="1" ht="21.75" customHeight="1">
      <c r="A1" s="30" t="s">
        <v>2100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31" t="s">
        <v>2101</v>
      </c>
      <c r="B2" s="2"/>
      <c r="C2" s="2"/>
      <c r="D2" s="2"/>
      <c r="E2" s="2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29" t="s">
        <v>2102</v>
      </c>
      <c r="B3" s="29" t="s">
        <v>32</v>
      </c>
      <c r="C3" s="29" t="s">
        <v>2103</v>
      </c>
      <c r="D3" s="29" t="s">
        <v>2104</v>
      </c>
      <c r="E3" s="29" t="s">
        <v>2105</v>
      </c>
      <c r="F3" s="29" t="s">
        <v>2106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3.25" customHeight="1">
      <c r="A4" s="11" t="s">
        <v>2107</v>
      </c>
      <c r="B4" s="11" t="s">
        <v>2108</v>
      </c>
      <c r="C4" s="11" t="s">
        <v>2109</v>
      </c>
      <c r="D4" s="11" t="s">
        <v>2110</v>
      </c>
      <c r="E4" s="11" t="s">
        <v>2111</v>
      </c>
      <c r="F4" s="11" t="s">
        <v>2112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3.25" customHeight="1">
      <c r="A5" s="11" t="s">
        <v>2113</v>
      </c>
      <c r="B5" s="11" t="s">
        <v>2114</v>
      </c>
      <c r="C5" s="11" t="s">
        <v>2115</v>
      </c>
      <c r="D5" s="11" t="s">
        <v>2116</v>
      </c>
      <c r="E5" s="11" t="s">
        <v>2117</v>
      </c>
      <c r="F5" s="11" t="s">
        <v>2118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3.25" customHeight="1">
      <c r="A6" s="11" t="s">
        <v>2119</v>
      </c>
      <c r="B6" s="11" t="s">
        <v>2120</v>
      </c>
      <c r="C6" s="11" t="s">
        <v>2121</v>
      </c>
      <c r="D6" s="11" t="s">
        <v>2122</v>
      </c>
      <c r="E6" s="11" t="s">
        <v>2123</v>
      </c>
      <c r="F6" s="11" t="s">
        <v>2124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3.25" customHeight="1">
      <c r="A7" s="11" t="s">
        <v>2125</v>
      </c>
      <c r="B7" s="11" t="s">
        <v>2126</v>
      </c>
      <c r="C7" s="11" t="s">
        <v>2127</v>
      </c>
      <c r="D7" s="11" t="s">
        <v>2128</v>
      </c>
      <c r="E7" s="11" t="s">
        <v>2129</v>
      </c>
      <c r="F7" s="11" t="s">
        <v>2130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3.25" customHeight="1">
      <c r="A8" s="11" t="s">
        <v>2131</v>
      </c>
      <c r="B8" s="11" t="s">
        <v>2132</v>
      </c>
      <c r="C8" s="11" t="s">
        <v>2133</v>
      </c>
      <c r="D8" s="11" t="s">
        <v>2134</v>
      </c>
      <c r="E8" s="11" t="s">
        <v>2135</v>
      </c>
      <c r="F8" s="11" t="s">
        <v>2136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3.25" customHeight="1">
      <c r="A9" s="11" t="s">
        <v>2137</v>
      </c>
      <c r="B9" s="11" t="s">
        <v>2138</v>
      </c>
      <c r="C9" s="11" t="s">
        <v>2139</v>
      </c>
      <c r="D9" s="11" t="s">
        <v>2140</v>
      </c>
      <c r="E9" s="11" t="s">
        <v>2141</v>
      </c>
      <c r="F9" s="11" t="s">
        <v>2142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4" t="s">
        <v>2143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